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ersonal project\"/>
    </mc:Choice>
  </mc:AlternateContent>
  <xr:revisionPtr revIDLastSave="0" documentId="13_ncr:1_{FBCA2BCA-04BF-460A-A7E6-DBAD56AEBBB0}" xr6:coauthVersionLast="47" xr6:coauthVersionMax="47" xr10:uidLastSave="{00000000-0000-0000-0000-000000000000}"/>
  <bookViews>
    <workbookView xWindow="-120" yWindow="-120" windowWidth="20730" windowHeight="11040" xr2:uid="{71CA6E19-1C5A-4B9D-8D6A-0F661BFE082E}"/>
  </bookViews>
  <sheets>
    <sheet name="Cleaned data" sheetId="2" r:id="rId1"/>
    <sheet name="PVT 1" sheetId="4" r:id="rId2"/>
    <sheet name="Charts" sheetId="5" r:id="rId3"/>
  </sheets>
  <definedNames>
    <definedName name="Economic_Data">Table2_1[]</definedName>
  </definedNames>
  <calcPr calcId="191029"/>
  <pivotCaches>
    <pivotCache cacheId="9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2" l="1"/>
  <c r="AA8" i="2"/>
  <c r="AA6" i="2"/>
  <c r="AA7" i="2"/>
  <c r="U2" i="2"/>
  <c r="Z11" i="2"/>
  <c r="Z10" i="2"/>
  <c r="Z9" i="2"/>
  <c r="Z8" i="2"/>
  <c r="Z7" i="2"/>
  <c r="Z6" i="2"/>
  <c r="Z5" i="2"/>
  <c r="Z4" i="2"/>
  <c r="Z3" i="2"/>
  <c r="K2" i="2"/>
  <c r="I2" i="2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3" i="2"/>
  <c r="K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3" i="2"/>
  <c r="I3" i="2" s="1"/>
  <c r="U13" i="2"/>
  <c r="U7" i="2"/>
  <c r="U17" i="2"/>
  <c r="U18" i="2"/>
  <c r="U3" i="2"/>
  <c r="U8" i="2"/>
  <c r="U19" i="2"/>
  <c r="U14" i="2"/>
  <c r="U4" i="2"/>
  <c r="U12" i="2"/>
  <c r="U9" i="2"/>
  <c r="U23" i="2" l="1"/>
  <c r="U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3C117-E384-429F-A3CE-BB247C8FC617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2" xr16:uid="{DDD13FEC-C01A-4116-9A33-444BCE0555FF}" keepAlive="1" name="Query - Table2_13" description="Connection to the 'Table2_13' query in the workbook." type="5" refreshedVersion="0" background="1">
    <dbPr connection="Provider=Microsoft.Mashup.OleDb.1;Data Source=$Workbook$;Location=Table2_13;Extended Properties=&quot;&quot;" command="SELECT * FROM [Table2_13]"/>
  </connection>
</connections>
</file>

<file path=xl/sharedStrings.xml><?xml version="1.0" encoding="utf-8"?>
<sst xmlns="http://schemas.openxmlformats.org/spreadsheetml/2006/main" count="175" uniqueCount="79">
  <si>
    <t>Years</t>
  </si>
  <si>
    <t>Agriculture_Performance</t>
  </si>
  <si>
    <t>GDP growth</t>
  </si>
  <si>
    <t>Oil_Performance</t>
  </si>
  <si>
    <t>Hign_Inflation_Period</t>
  </si>
  <si>
    <t>Economic performance label</t>
  </si>
  <si>
    <t>Agriculture_VS_oil</t>
  </si>
  <si>
    <t>Agriculture Average</t>
  </si>
  <si>
    <t>Oil Rent Average</t>
  </si>
  <si>
    <t>GDP Growth average</t>
  </si>
  <si>
    <t>Highest Agriculture Contribution</t>
  </si>
  <si>
    <t>Highest Oil Rents</t>
  </si>
  <si>
    <t>Lowest Agriculture</t>
  </si>
  <si>
    <t>Lowest Oil rent</t>
  </si>
  <si>
    <t>Agriculture Stability</t>
  </si>
  <si>
    <t>Oil Stability</t>
  </si>
  <si>
    <t>Agriculture_Growth_Rate</t>
  </si>
  <si>
    <t>Oil_Growth_rate</t>
  </si>
  <si>
    <t>CORRELATION ANALYSIS</t>
  </si>
  <si>
    <t>DESCRIPTIVE ANALYSIS</t>
  </si>
  <si>
    <t>Agriculture vs GDP</t>
  </si>
  <si>
    <t>Oil vs GDP</t>
  </si>
  <si>
    <t>TREND ANALYSIS (LINE CHARTS)</t>
  </si>
  <si>
    <t>SCATTERED PLOT ANALYSIS</t>
  </si>
  <si>
    <t>Grand Total</t>
  </si>
  <si>
    <t>Average of Agriculture value</t>
  </si>
  <si>
    <t>Average of Oil rents</t>
  </si>
  <si>
    <t>High Inflation</t>
  </si>
  <si>
    <t>Normal</t>
  </si>
  <si>
    <t>Average of GDP growth</t>
  </si>
  <si>
    <t>Inflation_Periods</t>
  </si>
  <si>
    <t>Average of Inflation rate</t>
  </si>
  <si>
    <t>Dominant_Sector</t>
  </si>
  <si>
    <t xml:space="preserve">YEARLY ECONOMIC SUMMARY TABLE </t>
  </si>
  <si>
    <t>Agriculture</t>
  </si>
  <si>
    <t>Oil</t>
  </si>
  <si>
    <t>Dominant Sector</t>
  </si>
  <si>
    <t>AGRICULTURE VS OIL PERFORMANCE</t>
  </si>
  <si>
    <t>HIGH INFLATION ANALYSIS</t>
  </si>
  <si>
    <t>Excahange_Rate_Category</t>
  </si>
  <si>
    <t>High rate</t>
  </si>
  <si>
    <t>Low rate</t>
  </si>
  <si>
    <t>Exchange_rate_category</t>
  </si>
  <si>
    <t>EXCHANGE RATE IMPACT ANALYSIS</t>
  </si>
  <si>
    <t>Agriculture Value</t>
  </si>
  <si>
    <t>Oil Rents</t>
  </si>
  <si>
    <t>GDP (US$)</t>
  </si>
  <si>
    <t>Inflation Rate</t>
  </si>
  <si>
    <t>Exchange Rate</t>
  </si>
  <si>
    <t>Highest GDP</t>
  </si>
  <si>
    <t>Lowest GDP</t>
  </si>
  <si>
    <t>GDP Stability</t>
  </si>
  <si>
    <t>Count of Agriculture value</t>
  </si>
  <si>
    <t>Count of Oil rents</t>
  </si>
  <si>
    <t>ANALYSIS SUMMARY</t>
  </si>
  <si>
    <t>Metric</t>
  </si>
  <si>
    <t>Value</t>
  </si>
  <si>
    <t>Year</t>
  </si>
  <si>
    <t>Interpretation</t>
  </si>
  <si>
    <t>Average GDP Growth</t>
  </si>
  <si>
    <t>Average GDP growth is moderate across the period.</t>
  </si>
  <si>
    <t>Average Agriculture Value</t>
  </si>
  <si>
    <t>Agriculture averages higher than oil rents over the period.</t>
  </si>
  <si>
    <t>Average Oil Rents</t>
  </si>
  <si>
    <t>Oil rents average well below agriculture value.</t>
  </si>
  <si>
    <t>Highest GDP Growth</t>
  </si>
  <si>
    <t>This year recorded the strongest GDP growth in the dataset.</t>
  </si>
  <si>
    <t>Highest Agriculture Value</t>
  </si>
  <si>
    <t>This is the peak agriculture contribution year.</t>
  </si>
  <si>
    <t>This is the peak oil-rent year.</t>
  </si>
  <si>
    <t>Highest GDP (US$)</t>
  </si>
  <si>
    <t>This year has the highest total GDP level.</t>
  </si>
  <si>
    <t>Agriculture-dominant Years</t>
  </si>
  <si>
    <t>Shows how often agriculture exceeds oil rents.</t>
  </si>
  <si>
    <t>Oil-dominant Years</t>
  </si>
  <si>
    <t>Shows how often oil rents exceed agriculture value.</t>
  </si>
  <si>
    <t>Decline</t>
  </si>
  <si>
    <t>Strong Growth</t>
  </si>
  <si>
    <t>Weak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</si>
</sst>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₦-46A]* #,##0.00_-;\-[$₦-46A]* #,##0.00_-;_-[$₦-46A]* &quot;-&quot;??_-;_-@_-"/>
    <numFmt numFmtId="165" formatCode="0.0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0" fontId="3" fillId="4" borderId="0" xfId="2" applyAlignment="1">
      <alignment wrapText="1"/>
    </xf>
  </cellXfs>
  <cellStyles count="4">
    <cellStyle name="20% - Accent1" xfId="3" builtinId="30"/>
    <cellStyle name="Accent1" xfId="2" builtinId="29"/>
    <cellStyle name="Currency" xfId="1" builtinId="4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[Abbas Anifat project Dataset.xlsx]PVT 1!PivotTable2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548417067335611"/>
          <c:y val="0.245011087864273"/>
          <c:w val="0.54593175853018372"/>
          <c:h val="0.4135140318834075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'PVT 1'!$B$3</c:f>
              <c:strCache>
                <c:ptCount val="1"/>
                <c:pt idx="0">
                  <c:v>Count of Agriculture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'PVT 1'!$A$4:$A$6</c:f>
              <c:strCache>
                <c:ptCount val="2"/>
                <c:pt idx="0">
                  <c:v>High Inflation</c:v>
                </c:pt>
                <c:pt idx="1">
                  <c:v>Normal</c:v>
                </c:pt>
              </c:strCache>
            </c:strRef>
          </c:cat>
          <c:val>
            <c:numRef>
              <c:f>'PVT 1'!$B$4:$B$6</c:f>
              <c:numCache>
                <c:formatCode>General</c:formatCode>
                <c:ptCount val="2"/>
                <c:pt idx="0">
                  <c:v>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4-4CEB-966D-89FEDDD4C4D0}"/>
            </c:ext>
          </c:extLst>
        </c:ser>
        <c:ser>
          <c:idx val="1"/>
          <c:order val="1"/>
          <c:tx>
            <c:strRef>
              <c:f>'PVT 1'!$C$3</c:f>
              <c:strCache>
                <c:ptCount val="1"/>
                <c:pt idx="0">
                  <c:v>Count of Oil rents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'PVT 1'!$A$4:$A$6</c:f>
              <c:strCache>
                <c:ptCount val="2"/>
                <c:pt idx="0">
                  <c:v>High Inflation</c:v>
                </c:pt>
                <c:pt idx="1">
                  <c:v>Normal</c:v>
                </c:pt>
              </c:strCache>
            </c:strRef>
          </c:cat>
          <c:val>
            <c:numRef>
              <c:f>'PVT 1'!$C$4:$C$6</c:f>
              <c:numCache>
                <c:formatCode>General</c:formatCode>
                <c:ptCount val="2"/>
                <c:pt idx="0">
                  <c:v>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4-4CEB-966D-89FEDDD4C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2902095"/>
        <c:axId val="1542901615"/>
        <c:axId val="0"/>
      </c:bar3DChart>
      <c:catAx>
        <c:axId val="154290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01615"/>
        <c:crosses val="autoZero"/>
        <c:auto val="1"/>
        <c:lblAlgn val="ctr"/>
        <c:lblOffset val="100"/>
        <c:noMultiLvlLbl val="0"/>
      </c:catAx>
      <c:valAx>
        <c:axId val="15429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0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Trend Of Agriculture And Oil Rev.</a:t>
            </a:r>
          </a:p>
        </c:rich>
      </c:tx>
      <c:layout>
        <c:manualLayout>
          <c:xMode val="edge"/>
          <c:yMode val="edge"/>
          <c:x val="0.12818049095328063"/>
          <c:y val="3.06905370843989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65414191647096"/>
          <c:y val="0.19008373540065102"/>
          <c:w val="0.82764129483814519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'Cleaned data'!$C$1</c:f>
              <c:strCache>
                <c:ptCount val="1"/>
                <c:pt idx="0">
                  <c:v>Agriculture Value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'Cleaned data'!$A$2:$A$23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'Cleaned data'!$C$2:$C$23</c:f>
              <c:numCache>
                <c:formatCode>General</c:formatCode>
                <c:ptCount val="22"/>
                <c:pt idx="0">
                  <c:v>21.356999999999999</c:v>
                </c:pt>
                <c:pt idx="1">
                  <c:v>24.475000000000001</c:v>
                </c:pt>
                <c:pt idx="2">
                  <c:v>36.965000000000003</c:v>
                </c:pt>
                <c:pt idx="3">
                  <c:v>33.826999999999998</c:v>
                </c:pt>
                <c:pt idx="4">
                  <c:v>27.23</c:v>
                </c:pt>
                <c:pt idx="5">
                  <c:v>26.088999999999999</c:v>
                </c:pt>
                <c:pt idx="6">
                  <c:v>24.734999999999999</c:v>
                </c:pt>
                <c:pt idx="7">
                  <c:v>24.663</c:v>
                </c:pt>
                <c:pt idx="8">
                  <c:v>25.28</c:v>
                </c:pt>
                <c:pt idx="9">
                  <c:v>26.748999999999999</c:v>
                </c:pt>
                <c:pt idx="10">
                  <c:v>23.893999999999998</c:v>
                </c:pt>
                <c:pt idx="11">
                  <c:v>22.234999999999999</c:v>
                </c:pt>
                <c:pt idx="12">
                  <c:v>21.86</c:v>
                </c:pt>
                <c:pt idx="13">
                  <c:v>20.759</c:v>
                </c:pt>
                <c:pt idx="14">
                  <c:v>19.989999999999998</c:v>
                </c:pt>
                <c:pt idx="15">
                  <c:v>20.632000000000001</c:v>
                </c:pt>
                <c:pt idx="16">
                  <c:v>20.983000000000001</c:v>
                </c:pt>
                <c:pt idx="17">
                  <c:v>20.847000000000001</c:v>
                </c:pt>
                <c:pt idx="18">
                  <c:v>21.204000000000001</c:v>
                </c:pt>
                <c:pt idx="19">
                  <c:v>25.734999999999999</c:v>
                </c:pt>
                <c:pt idx="20">
                  <c:v>28.344999999999999</c:v>
                </c:pt>
                <c:pt idx="21">
                  <c:v>29.388000000000002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C-4953-AD05-1150EFD93882}"/>
            </c:ext>
          </c:extLst>
        </c:ser>
        <c:ser>
          <c:idx val="1"/>
          <c:order val="1"/>
          <c:tx>
            <c:strRef>
              <c:f>'Cleaned data'!$D$1</c:f>
              <c:strCache>
                <c:ptCount val="1"/>
                <c:pt idx="0">
                  <c:v>Oil Rents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'Cleaned data'!$A$2:$A$23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'Cleaned data'!$D$2:$D$23</c:f>
              <c:numCache>
                <c:formatCode>General</c:formatCode>
                <c:ptCount val="22"/>
                <c:pt idx="0">
                  <c:v>22.05</c:v>
                </c:pt>
                <c:pt idx="1">
                  <c:v>15.234999999999999</c:v>
                </c:pt>
                <c:pt idx="2">
                  <c:v>11.145</c:v>
                </c:pt>
                <c:pt idx="3">
                  <c:v>12.12</c:v>
                </c:pt>
                <c:pt idx="4">
                  <c:v>14.417999999999999</c:v>
                </c:pt>
                <c:pt idx="5">
                  <c:v>17.696000000000002</c:v>
                </c:pt>
                <c:pt idx="6">
                  <c:v>14.88</c:v>
                </c:pt>
                <c:pt idx="7">
                  <c:v>13.834</c:v>
                </c:pt>
                <c:pt idx="8">
                  <c:v>15.53</c:v>
                </c:pt>
                <c:pt idx="9">
                  <c:v>8.6739999999999995</c:v>
                </c:pt>
                <c:pt idx="10">
                  <c:v>12.099</c:v>
                </c:pt>
                <c:pt idx="11">
                  <c:v>15.510999999999999</c:v>
                </c:pt>
                <c:pt idx="12">
                  <c:v>13.09</c:v>
                </c:pt>
                <c:pt idx="13">
                  <c:v>9.8800000000000008</c:v>
                </c:pt>
                <c:pt idx="14">
                  <c:v>7.0739999999999998</c:v>
                </c:pt>
                <c:pt idx="15">
                  <c:v>2.7829999999999999</c:v>
                </c:pt>
                <c:pt idx="16">
                  <c:v>2.6840000000000002</c:v>
                </c:pt>
                <c:pt idx="17">
                  <c:v>5.4729999999999999</c:v>
                </c:pt>
                <c:pt idx="18">
                  <c:v>7.6909999999999998</c:v>
                </c:pt>
                <c:pt idx="19">
                  <c:v>6.5149999999999997</c:v>
                </c:pt>
                <c:pt idx="20">
                  <c:v>3.3119999999999998</c:v>
                </c:pt>
                <c:pt idx="21">
                  <c:v>6.2469999999999999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C-4953-AD05-1150EFD93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654544"/>
        <c:axId val="1915679504"/>
      </c:lineChart>
      <c:catAx>
        <c:axId val="191565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79504"/>
        <c:crosses val="autoZero"/>
        <c:auto val="1"/>
        <c:lblAlgn val="ctr"/>
        <c:lblOffset val="100"/>
        <c:noMultiLvlLbl val="0"/>
      </c:catAx>
      <c:valAx>
        <c:axId val="19156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5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333051176275507"/>
          <c:y val="0.89458618390817513"/>
          <c:w val="0.50684763237033537"/>
          <c:h val="5.754515979620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93000874890641E-2"/>
          <c:y val="0.15782407407407409"/>
          <c:w val="0.90972922134733158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v>Agriculture In Gdp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'Cleaned data'!$A$2:$A$23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xVal>
          <c:yVal>
            <c:numRef>
              <c:f>'Cleaned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21.356999999999999</c:v>
                </c:pt>
                <c:pt idx="2">
                  <c:v>24.475000000000001</c:v>
                </c:pt>
                <c:pt idx="3">
                  <c:v>36.965000000000003</c:v>
                </c:pt>
                <c:pt idx="4">
                  <c:v>33.826999999999998</c:v>
                </c:pt>
                <c:pt idx="5">
                  <c:v>27.23</c:v>
                </c:pt>
                <c:pt idx="6">
                  <c:v>26.088999999999999</c:v>
                </c:pt>
                <c:pt idx="7">
                  <c:v>24.734999999999999</c:v>
                </c:pt>
                <c:pt idx="8">
                  <c:v>24.663</c:v>
                </c:pt>
                <c:pt idx="9">
                  <c:v>25.28</c:v>
                </c:pt>
                <c:pt idx="10">
                  <c:v>26.748999999999999</c:v>
                </c:pt>
                <c:pt idx="11">
                  <c:v>23.893999999999998</c:v>
                </c:pt>
                <c:pt idx="12">
                  <c:v>22.234999999999999</c:v>
                </c:pt>
                <c:pt idx="13">
                  <c:v>21.86</c:v>
                </c:pt>
                <c:pt idx="14">
                  <c:v>20.759</c:v>
                </c:pt>
                <c:pt idx="15">
                  <c:v>19.989999999999998</c:v>
                </c:pt>
                <c:pt idx="16">
                  <c:v>20.632000000000001</c:v>
                </c:pt>
                <c:pt idx="17">
                  <c:v>20.983000000000001</c:v>
                </c:pt>
                <c:pt idx="18">
                  <c:v>20.847000000000001</c:v>
                </c:pt>
                <c:pt idx="19">
                  <c:v>21.204000000000001</c:v>
                </c:pt>
                <c:pt idx="20">
                  <c:v>25.734999999999999</c:v>
                </c:pt>
                <c:pt idx="21">
                  <c:v>28.344999999999999</c:v>
                </c:pt>
                <c:pt idx="22">
                  <c:v>29.388000000000002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A-4391-9DEF-48C21F143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173312"/>
        <c:axId val="1564178592"/>
      </c:scatterChart>
      <c:valAx>
        <c:axId val="156417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78592"/>
        <c:crosses val="autoZero"/>
        <c:crossBetween val="midCat"/>
      </c:valAx>
      <c:valAx>
        <c:axId val="15641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7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GDP (US$) by Economic performance label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1.0185067526415994E-16"/>
              <c:y val="-4.2437781360066642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dLbl>
          <c:idx val="0"/>
          <c:layout>
            <c:manualLayout>
              <c:x val="-1.0185067526415994E-16"/>
              <c:y val="-4.2437781360066642E-17"/>
            </c:manualLayout>
          </c:layout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185067526415994E-16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9F-4A7D-8BA8-2A7E88557FB9}"/>
                </c:ext>
              </c:extLst>
            </c:dLbl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"/>
              <c:pt idx="0">
                <c:v>Decline</c:v>
              </c:pt>
              <c:pt idx="1">
                <c:v>Strong Growth</c:v>
              </c:pt>
              <c:pt idx="2">
                <c:v>Weak Growth</c:v>
              </c:pt>
            </c:strLit>
          </c:cat>
          <c:val>
            <c:numLit>
              <c:formatCode>General</c:formatCode>
              <c:ptCount val="3"/>
              <c:pt idx="0">
                <c:v>1003235943071.2329</c:v>
              </c:pt>
              <c:pt idx="1">
                <c:v>3680916600159.6045</c:v>
              </c:pt>
              <c:pt idx="2">
                <c:v>3031850393266.7378</c:v>
              </c:pt>
            </c:numLit>
          </c:val>
          <c:extLst>
            <c:ext xmlns:c16="http://schemas.microsoft.com/office/drawing/2014/chart" uri="{C3380CC4-5D6E-409C-BE32-E72D297353CC}">
              <c16:uniqueId val="{00000002-2B9F-4A7D-8BA8-2A7E88557F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832041584"/>
        <c:axId val="1527918048"/>
      </c:barChart>
      <c:catAx>
        <c:axId val="83204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18048"/>
        <c:crosses val="autoZero"/>
        <c:auto val="1"/>
        <c:lblAlgn val="ctr"/>
        <c:lblOffset val="100"/>
        <c:noMultiLvlLbl val="0"/>
      </c:catAx>
      <c:valAx>
        <c:axId val="152791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04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176212</xdr:rowOff>
    </xdr:from>
    <xdr:to>
      <xdr:col>7</xdr:col>
      <xdr:colOff>342900</xdr:colOff>
      <xdr:row>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B9780-2A80-58E2-4CDA-4CCAF121B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9525</xdr:rowOff>
    </xdr:from>
    <xdr:to>
      <xdr:col>7</xdr:col>
      <xdr:colOff>364435</xdr:colOff>
      <xdr:row>19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055E8-F1E9-4A82-909D-E59E3E18D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10</xdr:col>
      <xdr:colOff>0</xdr:colOff>
      <xdr:row>4</xdr:row>
      <xdr:rowOff>1</xdr:rowOff>
    </xdr:from>
    <xdr:to>
      <xdr:col>16</xdr:col>
      <xdr:colOff>424961</xdr:colOff>
      <xdr:row>19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090AB-B33D-4965-8E60-F891F69AB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21</xdr:row>
      <xdr:rowOff>115333</xdr:rowOff>
    </xdr:from>
    <xdr:to>
      <xdr:col>7</xdr:col>
      <xdr:colOff>74543</xdr:colOff>
      <xdr:row>34</xdr:row>
      <xdr:rowOff>91108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CFCCFF1-812A-CE53-B11B-E1E2F71FE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2.696841319441" createdVersion="8" refreshedVersion="8" minRefreshableVersion="3" recordCount="22" xr:uid="{1DB591B3-BF56-411D-9DC4-854F71F52A47}">
  <cacheSource type="worksheet">
    <worksheetSource ref="A1:P23" sheet="Cleaned data"/>
  </cacheSource>
  <cacheFields count="16">
    <cacheField name="Years" numFmtId="0">
      <sharedItems containsSemiMixedTypes="0" containsString="0" containsNumber="1" containsInteger="1" minValue="2000" maxValue="2024" count="25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 u="1"/>
        <n v="2023" u="1"/>
        <n v="2024" u="1"/>
      </sharedItems>
    </cacheField>
    <cacheField name="GDP growth" numFmtId="0">
      <sharedItems containsSemiMixedTypes="0" containsString="0" containsNumber="1" minValue="-6.3689999999999998" maxValue="15.329000000000001"/>
    </cacheField>
    <cacheField name="Agriculture Value" numFmtId="0">
      <sharedItems containsSemiMixedTypes="0" containsString="0" containsNumber="1" minValue="19.989999999999998" maxValue="36.965000000000003"/>
    </cacheField>
    <cacheField name="Oil Rents" numFmtId="0">
      <sharedItems containsSemiMixedTypes="0" containsString="0" containsNumber="1" minValue="2.6840000000000002" maxValue="22.05"/>
    </cacheField>
    <cacheField name="GDP (US$)" numFmtId="0">
      <sharedItems containsSemiMixedTypes="0" containsString="0" containsNumber="1" minValue="69171451627.246002" maxValue="668219992691.46204"/>
    </cacheField>
    <cacheField name="Inflation Rate" numFmtId="0">
      <sharedItems containsSemiMixedTypes="0" containsString="0" containsNumber="1" minValue="5.3879999999999999" maxValue="18.873999999999999"/>
    </cacheField>
    <cacheField name="Exchange Rate" numFmtId="0">
      <sharedItems containsSemiMixedTypes="0" containsString="0" containsNumber="1" minValue="101.697" maxValue="401.15199999999999"/>
    </cacheField>
    <cacheField name="Agriculture_Growth_Rate" numFmtId="0">
      <sharedItems containsString="0" containsBlank="1" containsNumber="1" minValue="-12.490000000000002" maxValue="6.5969999999999978"/>
    </cacheField>
    <cacheField name="Agriculture_Performance" numFmtId="0">
      <sharedItems/>
    </cacheField>
    <cacheField name="Oil_Growth_rate" numFmtId="0">
      <sharedItems containsString="0" containsBlank="1" containsNumber="1" minValue="-3.4250000000000007" maxValue="6.8559999999999999"/>
    </cacheField>
    <cacheField name="Oil_Performance" numFmtId="0">
      <sharedItems/>
    </cacheField>
    <cacheField name="Hign_Inflation_Period" numFmtId="0">
      <sharedItems count="2">
        <s v="Normal"/>
        <s v="High Inflation"/>
      </sharedItems>
    </cacheField>
    <cacheField name="Excahange_Rate_Category" numFmtId="0">
      <sharedItems count="2">
        <s v="Low rate"/>
        <s v="High rate"/>
      </sharedItems>
    </cacheField>
    <cacheField name="Economic performance label" numFmtId="0">
      <sharedItems/>
    </cacheField>
    <cacheField name="Agriculture_VS_oil" numFmtId="0">
      <sharedItems containsSemiMixedTypes="0" containsString="0" containsNumber="1" minValue="-0.69300000000000139" maxValue="25.820000000000004"/>
    </cacheField>
    <cacheField name="Dominant_Sector" numFmtId="0">
      <sharedItems count="2">
        <s v="Oil"/>
        <s v="Agricul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5.016"/>
    <n v="21.356999999999999"/>
    <n v="22.05"/>
    <n v="69171451627.246002"/>
    <n v="6.9329999999999998"/>
    <n v="101.697"/>
    <m/>
    <s v="No Value"/>
    <m/>
    <s v="No Value"/>
    <x v="0"/>
    <x v="0"/>
    <s v="Strong Growth"/>
    <n v="-0.69300000000000139"/>
    <x v="0"/>
  </r>
  <r>
    <x v="1"/>
    <n v="5.9180000000000001"/>
    <n v="24.475000000000001"/>
    <n v="15.234999999999999"/>
    <n v="73557840064.488998"/>
    <n v="18.873999999999999"/>
    <n v="111.23099999999999"/>
    <n v="-3.1180000000000021"/>
    <s v="Decline"/>
    <n v="6.8150000000000013"/>
    <s v="Increase"/>
    <x v="1"/>
    <x v="0"/>
    <s v="Strong Growth"/>
    <n v="9.240000000000002"/>
    <x v="1"/>
  </r>
  <r>
    <x v="2"/>
    <n v="15.329000000000001"/>
    <n v="36.965000000000003"/>
    <n v="11.145"/>
    <n v="95054059302.699997"/>
    <n v="12.877000000000001"/>
    <n v="120.578"/>
    <n v="-12.490000000000002"/>
    <s v="Decline"/>
    <n v="4.09"/>
    <s v="Increase"/>
    <x v="0"/>
    <x v="0"/>
    <s v="Strong Growth"/>
    <n v="25.820000000000004"/>
    <x v="1"/>
  </r>
  <r>
    <x v="3"/>
    <n v="7.3470000000000004"/>
    <n v="33.826999999999998"/>
    <n v="12.12"/>
    <n v="104738954264.226"/>
    <n v="14.032"/>
    <n v="129.22200000000001"/>
    <n v="3.1380000000000052"/>
    <s v="Increase"/>
    <n v="-0.97499999999999964"/>
    <s v="Decline"/>
    <x v="0"/>
    <x v="0"/>
    <s v="Strong Growth"/>
    <n v="21.707000000000001"/>
    <x v="1"/>
  </r>
  <r>
    <x v="4"/>
    <n v="9.2509999999999994"/>
    <n v="27.23"/>
    <n v="14.417999999999999"/>
    <n v="135764731645.61099"/>
    <n v="14.997999999999999"/>
    <n v="132.88800000000001"/>
    <n v="6.5969999999999978"/>
    <s v="Increase"/>
    <n v="-2.298"/>
    <s v="Decline"/>
    <x v="0"/>
    <x v="0"/>
    <s v="Strong Growth"/>
    <n v="12.812000000000001"/>
    <x v="1"/>
  </r>
  <r>
    <x v="5"/>
    <n v="6.4390000000000001"/>
    <n v="26.088999999999999"/>
    <n v="17.696000000000002"/>
    <n v="175670569969.34601"/>
    <n v="17.863"/>
    <n v="131.274"/>
    <n v="1.1410000000000018"/>
    <s v="Increase"/>
    <n v="-3.2780000000000022"/>
    <s v="Decline"/>
    <x v="1"/>
    <x v="0"/>
    <s v="Strong Growth"/>
    <n v="8.3929999999999971"/>
    <x v="1"/>
  </r>
  <r>
    <x v="6"/>
    <n v="6.0590000000000002"/>
    <n v="24.734999999999999"/>
    <n v="14.88"/>
    <n v="238454997161.48001"/>
    <n v="8.2249999999999996"/>
    <n v="128.65199999999999"/>
    <n v="1.3539999999999992"/>
    <s v="Increase"/>
    <n v="2.8160000000000007"/>
    <s v="Increase"/>
    <x v="0"/>
    <x v="0"/>
    <s v="Strong Growth"/>
    <n v="9.8549999999999986"/>
    <x v="1"/>
  </r>
  <r>
    <x v="7"/>
    <n v="6.5910000000000002"/>
    <n v="24.663"/>
    <n v="13.834"/>
    <n v="278260846800.10303"/>
    <n v="5.3879999999999999"/>
    <n v="125.80800000000001"/>
    <n v="7.1999999999999176E-2"/>
    <s v="Increase"/>
    <n v="1.0460000000000012"/>
    <s v="Increase"/>
    <x v="0"/>
    <x v="0"/>
    <s v="Strong Growth"/>
    <n v="10.829000000000001"/>
    <x v="1"/>
  </r>
  <r>
    <x v="8"/>
    <n v="6.7640000000000002"/>
    <n v="25.28"/>
    <n v="15.53"/>
    <n v="339476276257.79303"/>
    <n v="11.581"/>
    <n v="118.56699999999999"/>
    <n v="-0.61700000000000088"/>
    <s v="Decline"/>
    <n v="-1.6959999999999997"/>
    <s v="Decline"/>
    <x v="0"/>
    <x v="0"/>
    <s v="Strong Growth"/>
    <n v="9.7500000000000018"/>
    <x v="1"/>
  </r>
  <r>
    <x v="9"/>
    <n v="8.0370000000000008"/>
    <n v="26.748999999999999"/>
    <n v="8.6739999999999995"/>
    <n v="295008835380.99701"/>
    <n v="12.538"/>
    <n v="148.88"/>
    <n v="-1.4689999999999976"/>
    <s v="Decline"/>
    <n v="6.8559999999999999"/>
    <s v="Increase"/>
    <x v="0"/>
    <x v="0"/>
    <s v="Strong Growth"/>
    <n v="18.074999999999999"/>
    <x v="1"/>
  </r>
  <r>
    <x v="10"/>
    <n v="8.0060000000000002"/>
    <n v="23.893999999999998"/>
    <n v="12.099"/>
    <n v="366990417129.03998"/>
    <n v="13.74"/>
    <n v="150.298"/>
    <n v="2.8550000000000004"/>
    <s v="Increase"/>
    <n v="-3.4250000000000007"/>
    <s v="Decline"/>
    <x v="0"/>
    <x v="0"/>
    <s v="Strong Growth"/>
    <n v="11.794999999999998"/>
    <x v="1"/>
  </r>
  <r>
    <x v="11"/>
    <n v="5.3079999999999998"/>
    <n v="22.234999999999999"/>
    <n v="15.510999999999999"/>
    <n v="414466676831.15997"/>
    <n v="10.826000000000001"/>
    <n v="153.86199999999999"/>
    <n v="1.6589999999999989"/>
    <s v="Increase"/>
    <n v="-3.411999999999999"/>
    <s v="Decline"/>
    <x v="0"/>
    <x v="0"/>
    <s v="Strong Growth"/>
    <n v="6.7240000000000002"/>
    <x v="1"/>
  </r>
  <r>
    <x v="12"/>
    <n v="4.2300000000000004"/>
    <n v="21.86"/>
    <n v="13.09"/>
    <n v="463971018239.28003"/>
    <n v="12.224"/>
    <n v="157.5"/>
    <n v="0.375"/>
    <s v="Increase"/>
    <n v="2.4209999999999994"/>
    <s v="Increase"/>
    <x v="0"/>
    <x v="0"/>
    <s v="Weak Growth"/>
    <n v="8.77"/>
    <x v="1"/>
  </r>
  <r>
    <x v="13"/>
    <n v="6.6710000000000003"/>
    <n v="20.759"/>
    <n v="9.8800000000000008"/>
    <n v="520117180313.90601"/>
    <n v="8.4960000000000004"/>
    <n v="157.31200000000001"/>
    <n v="1.1009999999999991"/>
    <s v="Increase"/>
    <n v="3.2099999999999991"/>
    <s v="Increase"/>
    <x v="0"/>
    <x v="0"/>
    <s v="Strong Growth"/>
    <n v="10.879"/>
    <x v="1"/>
  </r>
  <r>
    <x v="14"/>
    <n v="6.31"/>
    <n v="19.989999999999998"/>
    <n v="7.0739999999999998"/>
    <n v="574183763411.50806"/>
    <n v="8.0470000000000006"/>
    <n v="158.553"/>
    <n v="0.7690000000000019"/>
    <s v="Increase"/>
    <n v="2.8060000000000009"/>
    <s v="Increase"/>
    <x v="0"/>
    <x v="0"/>
    <s v="Strong Growth"/>
    <n v="12.915999999999999"/>
    <x v="1"/>
  </r>
  <r>
    <x v="15"/>
    <n v="2.653"/>
    <n v="20.632000000000001"/>
    <n v="2.7829999999999999"/>
    <n v="493026682800.63"/>
    <n v="9.0090000000000003"/>
    <n v="192.44"/>
    <n v="-0.64200000000000301"/>
    <s v="Decline"/>
    <n v="4.2910000000000004"/>
    <s v="Increase"/>
    <x v="0"/>
    <x v="0"/>
    <s v="Weak Growth"/>
    <n v="17.849"/>
    <x v="1"/>
  </r>
  <r>
    <x v="16"/>
    <n v="-1.617"/>
    <n v="20.983000000000001"/>
    <n v="2.6840000000000002"/>
    <n v="404649125252.15997"/>
    <n v="15.696999999999999"/>
    <n v="253.49199999999999"/>
    <n v="-0.35099999999999909"/>
    <s v="Decline"/>
    <n v="9.8999999999999755E-2"/>
    <s v="Increase"/>
    <x v="1"/>
    <x v="0"/>
    <s v="Decline"/>
    <n v="18.298999999999999"/>
    <x v="1"/>
  </r>
  <r>
    <x v="17"/>
    <n v="0.80600000000000005"/>
    <n v="20.847000000000001"/>
    <n v="5.4729999999999999"/>
    <n v="375745731053.427"/>
    <n v="16.501999999999999"/>
    <n v="305.79000000000002"/>
    <n v="0.13599999999999923"/>
    <s v="Increase"/>
    <n v="-2.7889999999999997"/>
    <s v="Decline"/>
    <x v="1"/>
    <x v="1"/>
    <s v="Weak Growth"/>
    <n v="15.374000000000002"/>
    <x v="1"/>
  </r>
  <r>
    <x v="18"/>
    <n v="1.923"/>
    <n v="21.204000000000001"/>
    <n v="7.6909999999999998"/>
    <n v="421739251509.08002"/>
    <n v="12.095000000000001"/>
    <n v="306.084"/>
    <n v="-0.35699999999999932"/>
    <s v="Decline"/>
    <n v="-2.218"/>
    <s v="Decline"/>
    <x v="0"/>
    <x v="1"/>
    <s v="Weak Growth"/>
    <n v="13.513000000000002"/>
    <x v="1"/>
  </r>
  <r>
    <x v="19"/>
    <n v="2.2080000000000002"/>
    <n v="25.734999999999999"/>
    <n v="6.5149999999999997"/>
    <n v="668219992691.46204"/>
    <n v="11.396000000000001"/>
    <n v="306.92099999999999"/>
    <n v="-4.5309999999999988"/>
    <s v="Decline"/>
    <n v="1.1760000000000002"/>
    <s v="Increase"/>
    <x v="0"/>
    <x v="1"/>
    <s v="Weak Growth"/>
    <n v="19.22"/>
    <x v="1"/>
  </r>
  <r>
    <x v="20"/>
    <n v="-6.3689999999999998"/>
    <n v="28.344999999999999"/>
    <n v="3.3119999999999998"/>
    <n v="598586817819.073"/>
    <n v="13.246"/>
    <n v="358.81099999999998"/>
    <n v="-2.6099999999999994"/>
    <s v="Decline"/>
    <n v="3.2029999999999998"/>
    <s v="Increase"/>
    <x v="0"/>
    <x v="1"/>
    <s v="Decline"/>
    <n v="25.032999999999998"/>
    <x v="1"/>
  </r>
  <r>
    <x v="21"/>
    <n v="1.109"/>
    <n v="29.388000000000002"/>
    <n v="6.2469999999999999"/>
    <n v="609147716972.85901"/>
    <n v="16.952999999999999"/>
    <n v="401.15199999999999"/>
    <n v="-1.0430000000000028"/>
    <s v="Decline"/>
    <n v="-2.9350000000000001"/>
    <s v="Decline"/>
    <x v="1"/>
    <x v="1"/>
    <s v="Weak Growth"/>
    <n v="23.14100000000000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548CA-1D6D-410F-9F98-A6A79000EBBB}" name="PivotTable2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 rowHeaderCaption="Inflation_Periods">
  <location ref="A3:C6" firstHeaderRow="0" firstDataRow="1" firstDataCol="1"/>
  <pivotFields count="16">
    <pivotField showAll="0"/>
    <pivotField showAll="0"/>
    <pivotField dataField="1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griculture value" fld="2" subtotal="count" baseField="11" baseItem="0"/>
    <dataField name="Count of Oil rents" fld="3" subtotal="count" baseField="11" baseItem="0"/>
  </dataFields>
  <chartFormats count="2">
    <chartFormat chart="4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A2EE9-A61B-4108-8053-BF95793BE335}" name="PivotTable5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ominant Sector">
  <location ref="A42:D45" firstHeaderRow="0" firstDataRow="1" firstDataCol="1"/>
  <pivotFields count="16">
    <pivotField showAll="0"/>
    <pivotField dataField="1" showAll="0"/>
    <pivotField dataField="1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DP growth" fld="1" subtotal="average" baseField="10" baseItem="0"/>
    <dataField name="Average of Agriculture value" fld="2" subtotal="average" baseField="0" baseItem="0"/>
    <dataField name="Average of Oil rent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86543-0862-4E11-903C-F282328726B0}" name="PivotTable4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Years">
  <location ref="A13:E36" firstHeaderRow="0" firstDataRow="1" firstDataCol="1"/>
  <pivotFields count="16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2"/>
        <item m="1" x="23"/>
        <item m="1" x="24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GDP growth" fld="1" subtotal="average" baseField="0" baseItem="0"/>
    <dataField name="Average of Agriculture value" fld="2" subtotal="average" baseField="0" baseItem="0"/>
    <dataField name="Average of Oil rents" fld="3" subtotal="average" baseField="0" baseItem="0"/>
    <dataField name="Average of Inflation rat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548BE-6CFA-4472-8D3F-189E2D7F2194}" name="PivotTable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change_rate_category">
  <location ref="A51:D54" firstHeaderRow="0" firstDataRow="1" firstDataCol="1"/>
  <pivotFields count="16">
    <pivotField showAll="0"/>
    <pivotField dataField="1" showAll="0"/>
    <pivotField dataField="1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DP growth" fld="1" subtotal="average" baseField="10" baseItem="0"/>
    <dataField name="Average of Agriculture value" fld="2" subtotal="average" baseField="0" baseItem="0"/>
    <dataField name="Average of Oil rent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D220CD-1100-41BD-A04B-FAF318509893}" name="Table2_1" displayName="Table2_1" ref="A1:P23" totalsRowShown="0">
  <autoFilter ref="A1:P23" xr:uid="{51D220CD-1100-41BD-A04B-FAF318509893}"/>
  <tableColumns count="16">
    <tableColumn id="1" xr3:uid="{C3214A51-CF3B-4A99-853C-2D5EA8C07E44}" name="Years"/>
    <tableColumn id="2" xr3:uid="{DA1C12ED-6E80-49D1-98CE-C9A56AAC9FF1}" name="GDP growth"/>
    <tableColumn id="3" xr3:uid="{FCE3CEF9-6B37-4B0B-A3EB-4650EE4020FA}" name="Agriculture Value"/>
    <tableColumn id="4" xr3:uid="{0A77CE4E-7E57-480D-8AD5-784FCFB29110}" name="Oil Rents"/>
    <tableColumn id="5" xr3:uid="{58BFA435-1919-490F-BD0F-C7F88A83AD1F}" name="GDP (US$)"/>
    <tableColumn id="6" xr3:uid="{6E867813-51A8-4149-89D4-B9E0411991F3}" name="Inflation Rate"/>
    <tableColumn id="7" xr3:uid="{0A8A64F5-F576-47B7-9A52-F575F168D7B9}" name="Exchange Rate"/>
    <tableColumn id="8" xr3:uid="{970F2B35-4945-425A-92C3-62C7D47F4C86}" name="Agriculture_Growth_Rate"/>
    <tableColumn id="9" xr3:uid="{A71009BD-0889-4089-9EBA-9AD6A03798AC}" name="Agriculture_Performance" dataDxfId="5">
      <calculatedColumnFormula>IF(Table2_1[[#This Row],[Agriculture_Growth_Rate]]&gt;0,"Increase",IF(Table2_1[[#This Row],[Agriculture_Growth_Rate]]&lt;0,"Decline","No Value"))</calculatedColumnFormula>
    </tableColumn>
    <tableColumn id="10" xr3:uid="{1C70C381-605C-4F2C-9B15-6FD09145C485}" name="Oil_Growth_rate"/>
    <tableColumn id="11" xr3:uid="{F9E8F6AD-DE55-495B-9289-A9F251268DAB}" name="Oil_Performance" dataDxfId="4">
      <calculatedColumnFormula>IF(Table2_1[[#This Row],[Oil_Growth_rate]]&gt;0,"Increase",IF(Table2_1[[#This Row],[Oil_Growth_rate]]&lt;0,"Decline","No Value"))</calculatedColumnFormula>
    </tableColumn>
    <tableColumn id="12" xr3:uid="{9BBDD364-A54F-492A-A26D-3C064B86B929}" name="Hign_Inflation_Period" dataDxfId="3"/>
    <tableColumn id="13" xr3:uid="{07930ECB-CA92-4BA9-B209-2CD2A308E5D9}" name="Excahange_Rate_Category" dataDxfId="2"/>
    <tableColumn id="14" xr3:uid="{1F4914B4-DE6F-4A4C-9F9A-DDAD15AFA048}" name="Economic performance label" dataDxfId="1"/>
    <tableColumn id="15" xr3:uid="{16CE2B65-DB41-446C-A978-39025BA0A7C9}" name="Agriculture_VS_oil"/>
    <tableColumn id="16" xr3:uid="{74894C67-9DB0-4C51-B222-08D6B38C31A8}" name="Dominant_Secto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D7DDECD-9616-42EE-B9F3-ED7EFF3F3EE0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658451D-A7AB-43F3-AA4A-527AEA7A2511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nM0NE3dQ1mKxPbAE2r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D39AA5F6-9D33-45A7-A610-378313BC7500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10A5-6105-4FCA-89D6-7D7AD636BE5A}">
  <dimension ref="A1:AB23"/>
  <sheetViews>
    <sheetView tabSelected="1" topLeftCell="E1" workbookViewId="0">
      <selection activeCell="AA10" sqref="AA10"/>
    </sheetView>
  </sheetViews>
  <sheetFormatPr defaultRowHeight="15" x14ac:dyDescent="0.25"/>
  <cols>
    <col min="1" max="1" width="8.28515625" bestFit="1" customWidth="1"/>
    <col min="2" max="2" width="13.85546875" bestFit="1" customWidth="1"/>
    <col min="3" max="3" width="18.7109375" bestFit="1" customWidth="1"/>
    <col min="4" max="4" width="11.5703125" bestFit="1" customWidth="1"/>
    <col min="5" max="5" width="20" style="6" bestFit="1" customWidth="1"/>
    <col min="6" max="6" width="15.5703125" style="1" bestFit="1" customWidth="1"/>
    <col min="7" max="7" width="18" style="1" bestFit="1" customWidth="1"/>
    <col min="8" max="9" width="26" bestFit="1" customWidth="1"/>
    <col min="10" max="10" width="17.85546875" bestFit="1" customWidth="1"/>
    <col min="11" max="11" width="18.42578125" bestFit="1" customWidth="1"/>
    <col min="12" max="12" width="22.85546875" bestFit="1" customWidth="1"/>
    <col min="13" max="13" width="27.28515625" bestFit="1" customWidth="1"/>
    <col min="14" max="14" width="29.5703125" bestFit="1" customWidth="1"/>
    <col min="15" max="15" width="19.7109375" bestFit="1" customWidth="1"/>
    <col min="16" max="16" width="19" bestFit="1" customWidth="1"/>
    <col min="20" max="20" width="29.7109375" bestFit="1" customWidth="1"/>
    <col min="21" max="21" width="20" bestFit="1" customWidth="1"/>
    <col min="24" max="24" width="10.7109375" customWidth="1"/>
    <col min="25" max="25" width="28.85546875" bestFit="1" customWidth="1"/>
    <col min="26" max="26" width="17.5703125" bestFit="1" customWidth="1"/>
    <col min="28" max="28" width="30.140625" customWidth="1"/>
    <col min="41" max="41" width="17.5703125" bestFit="1" customWidth="1"/>
    <col min="42" max="42" width="5" bestFit="1" customWidth="1"/>
    <col min="43" max="43" width="13.7109375" bestFit="1" customWidth="1"/>
  </cols>
  <sheetData>
    <row r="1" spans="1:28" x14ac:dyDescent="0.25">
      <c r="A1" t="s">
        <v>0</v>
      </c>
      <c r="B1" t="s">
        <v>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16</v>
      </c>
      <c r="I1" t="s">
        <v>1</v>
      </c>
      <c r="J1" t="s">
        <v>17</v>
      </c>
      <c r="K1" t="s">
        <v>3</v>
      </c>
      <c r="L1" t="s">
        <v>4</v>
      </c>
      <c r="M1" t="s">
        <v>39</v>
      </c>
      <c r="N1" t="s">
        <v>5</v>
      </c>
      <c r="O1" t="s">
        <v>6</v>
      </c>
      <c r="P1" t="s">
        <v>32</v>
      </c>
      <c r="T1" t="s">
        <v>19</v>
      </c>
      <c r="Y1" s="14" t="s">
        <v>54</v>
      </c>
      <c r="Z1" s="14"/>
      <c r="AA1" s="14"/>
      <c r="AB1" s="14"/>
    </row>
    <row r="2" spans="1:28" x14ac:dyDescent="0.25">
      <c r="A2">
        <v>2000</v>
      </c>
      <c r="B2">
        <v>5.016</v>
      </c>
      <c r="C2">
        <v>21.356999999999999</v>
      </c>
      <c r="D2">
        <v>22.05</v>
      </c>
      <c r="E2">
        <v>69171451627.246002</v>
      </c>
      <c r="F2">
        <v>6.9329999999999998</v>
      </c>
      <c r="G2">
        <v>101.697</v>
      </c>
      <c r="I2" t="str">
        <f>IF(Table2_1[[#This Row],[Agriculture_Growth_Rate]]&gt;0,"Increase",IF(Table2_1[[#This Row],[Agriculture_Growth_Rate]]&lt;0,"Decline","No Value"))</f>
        <v>No Value</v>
      </c>
      <c r="K2" t="str">
        <f>IF(Table2_1[[#This Row],[Oil_Growth_rate]]&gt;0,"Increase",IF(Table2_1[[#This Row],[Oil_Growth_rate]]&lt;0,"Decline","No Value"))</f>
        <v>No Value</v>
      </c>
      <c r="L2" t="s">
        <v>28</v>
      </c>
      <c r="M2" t="s">
        <v>41</v>
      </c>
      <c r="N2" t="s">
        <v>77</v>
      </c>
      <c r="O2">
        <v>-0.69300000000000139</v>
      </c>
      <c r="P2" t="s">
        <v>35</v>
      </c>
      <c r="S2" s="2">
        <v>1</v>
      </c>
      <c r="T2" t="s">
        <v>7</v>
      </c>
      <c r="U2">
        <f>AVERAGE(C:C)</f>
        <v>24.874636363636366</v>
      </c>
      <c r="Y2" s="13" t="s">
        <v>55</v>
      </c>
      <c r="Z2" s="13" t="s">
        <v>56</v>
      </c>
      <c r="AA2" s="13" t="s">
        <v>57</v>
      </c>
      <c r="AB2" s="13" t="s">
        <v>58</v>
      </c>
    </row>
    <row r="3" spans="1:28" ht="30" x14ac:dyDescent="0.25">
      <c r="A3">
        <v>2001</v>
      </c>
      <c r="B3">
        <v>5.9180000000000001</v>
      </c>
      <c r="C3">
        <v>24.475000000000001</v>
      </c>
      <c r="D3">
        <v>15.234999999999999</v>
      </c>
      <c r="E3">
        <v>73557840064.488998</v>
      </c>
      <c r="F3">
        <v>18.873999999999999</v>
      </c>
      <c r="G3">
        <v>111.23099999999999</v>
      </c>
      <c r="H3">
        <f>C2-Table2_1[[#This Row],[Agriculture Value]]</f>
        <v>-3.1180000000000021</v>
      </c>
      <c r="I3" t="str">
        <f>IF(Table2_1[[#This Row],[Agriculture_Growth_Rate]]&gt;0,"Increase",IF(Table2_1[[#This Row],[Agriculture_Growth_Rate]]&lt;0,"Decline","No Value"))</f>
        <v>Decline</v>
      </c>
      <c r="J3">
        <f>D2-Table2_1[[#This Row],[Oil Rents]]</f>
        <v>6.8150000000000013</v>
      </c>
      <c r="K3" t="str">
        <f>IF(Table2_1[[#This Row],[Oil_Growth_rate]]&gt;0,"Increase",IF(Table2_1[[#This Row],[Oil_Growth_rate]]&lt;0,"Decline","No Value"))</f>
        <v>Increase</v>
      </c>
      <c r="L3" t="s">
        <v>27</v>
      </c>
      <c r="M3" t="s">
        <v>41</v>
      </c>
      <c r="N3" t="s">
        <v>77</v>
      </c>
      <c r="O3">
        <v>9.240000000000002</v>
      </c>
      <c r="P3" t="s">
        <v>34</v>
      </c>
      <c r="S3" s="2">
        <v>2</v>
      </c>
      <c r="T3" t="s">
        <v>8</v>
      </c>
      <c r="U3">
        <f>AVERAGE(D:D)</f>
        <v>10.815499999999998</v>
      </c>
      <c r="Y3" s="12" t="s">
        <v>59</v>
      </c>
      <c r="Z3" s="12">
        <f>AVERAGE(Table2_1[GDP growth])</f>
        <v>4.9085909090909094</v>
      </c>
      <c r="AA3" s="12"/>
      <c r="AB3" s="12" t="s">
        <v>60</v>
      </c>
    </row>
    <row r="4" spans="1:28" ht="30" x14ac:dyDescent="0.25">
      <c r="A4">
        <v>2002</v>
      </c>
      <c r="B4">
        <v>15.329000000000001</v>
      </c>
      <c r="C4">
        <v>36.965000000000003</v>
      </c>
      <c r="D4">
        <v>11.145</v>
      </c>
      <c r="E4">
        <v>95054059302.699997</v>
      </c>
      <c r="F4">
        <v>12.877000000000001</v>
      </c>
      <c r="G4">
        <v>120.578</v>
      </c>
      <c r="H4">
        <f>C3-Table2_1[[#This Row],[Agriculture Value]]</f>
        <v>-12.490000000000002</v>
      </c>
      <c r="I4" t="str">
        <f>IF(Table2_1[[#This Row],[Agriculture_Growth_Rate]]&gt;0,"Increase",IF(Table2_1[[#This Row],[Agriculture_Growth_Rate]]&lt;0,"Decline","No Value"))</f>
        <v>Decline</v>
      </c>
      <c r="J4">
        <f>D3-Table2_1[[#This Row],[Oil Rents]]</f>
        <v>4.09</v>
      </c>
      <c r="K4" t="str">
        <f>IF(Table2_1[[#This Row],[Oil_Growth_rate]]&gt;0,"Increase",IF(Table2_1[[#This Row],[Oil_Growth_rate]]&lt;0,"Decline","No Value"))</f>
        <v>Increase</v>
      </c>
      <c r="L4" t="s">
        <v>28</v>
      </c>
      <c r="M4" t="s">
        <v>41</v>
      </c>
      <c r="N4" t="s">
        <v>77</v>
      </c>
      <c r="O4">
        <v>25.820000000000004</v>
      </c>
      <c r="P4" t="s">
        <v>34</v>
      </c>
      <c r="S4" s="2">
        <v>3</v>
      </c>
      <c r="T4" t="s">
        <v>9</v>
      </c>
      <c r="U4">
        <f>AVERAGE(B:B)</f>
        <v>4.9085909090909094</v>
      </c>
      <c r="Y4" s="12" t="s">
        <v>61</v>
      </c>
      <c r="Z4" s="12">
        <f>AVERAGE(Table2_1[Agriculture Value])</f>
        <v>24.874636363636366</v>
      </c>
      <c r="AA4" s="12"/>
      <c r="AB4" s="12" t="s">
        <v>62</v>
      </c>
    </row>
    <row r="5" spans="1:28" ht="30" x14ac:dyDescent="0.25">
      <c r="A5">
        <v>2003</v>
      </c>
      <c r="B5">
        <v>7.3470000000000004</v>
      </c>
      <c r="C5">
        <v>33.826999999999998</v>
      </c>
      <c r="D5">
        <v>12.12</v>
      </c>
      <c r="E5">
        <v>104738954264.226</v>
      </c>
      <c r="F5">
        <v>14.032</v>
      </c>
      <c r="G5">
        <v>129.22200000000001</v>
      </c>
      <c r="H5">
        <f>C4-Table2_1[[#This Row],[Agriculture Value]]</f>
        <v>3.1380000000000052</v>
      </c>
      <c r="I5" t="str">
        <f>IF(Table2_1[[#This Row],[Agriculture_Growth_Rate]]&gt;0,"Increase",IF(Table2_1[[#This Row],[Agriculture_Growth_Rate]]&lt;0,"Decline","No Value"))</f>
        <v>Increase</v>
      </c>
      <c r="J5">
        <f>D4-Table2_1[[#This Row],[Oil Rents]]</f>
        <v>-0.97499999999999964</v>
      </c>
      <c r="K5" t="str">
        <f>IF(Table2_1[[#This Row],[Oil_Growth_rate]]&gt;0,"Increase",IF(Table2_1[[#This Row],[Oil_Growth_rate]]&lt;0,"Decline","No Value"))</f>
        <v>Decline</v>
      </c>
      <c r="L5" t="s">
        <v>28</v>
      </c>
      <c r="M5" t="s">
        <v>41</v>
      </c>
      <c r="N5" t="s">
        <v>77</v>
      </c>
      <c r="O5">
        <v>21.707000000000001</v>
      </c>
      <c r="P5" t="s">
        <v>34</v>
      </c>
      <c r="Y5" s="12" t="s">
        <v>63</v>
      </c>
      <c r="Z5" s="12">
        <f>AVERAGE(Table2_1[Oil Rents])</f>
        <v>10.815499999999998</v>
      </c>
      <c r="AA5" s="12"/>
      <c r="AB5" s="12" t="s">
        <v>64</v>
      </c>
    </row>
    <row r="6" spans="1:28" ht="30" x14ac:dyDescent="0.25">
      <c r="A6">
        <v>2004</v>
      </c>
      <c r="B6">
        <v>9.2509999999999994</v>
      </c>
      <c r="C6">
        <v>27.23</v>
      </c>
      <c r="D6">
        <v>14.417999999999999</v>
      </c>
      <c r="E6">
        <v>135764731645.61099</v>
      </c>
      <c r="F6">
        <v>14.997999999999999</v>
      </c>
      <c r="G6">
        <v>132.88800000000001</v>
      </c>
      <c r="H6">
        <f>C5-Table2_1[[#This Row],[Agriculture Value]]</f>
        <v>6.5969999999999978</v>
      </c>
      <c r="I6" t="str">
        <f>IF(Table2_1[[#This Row],[Agriculture_Growth_Rate]]&gt;0,"Increase",IF(Table2_1[[#This Row],[Agriculture_Growth_Rate]]&lt;0,"Decline","No Value"))</f>
        <v>Increase</v>
      </c>
      <c r="J6">
        <f>D5-Table2_1[[#This Row],[Oil Rents]]</f>
        <v>-2.298</v>
      </c>
      <c r="K6" t="str">
        <f>IF(Table2_1[[#This Row],[Oil_Growth_rate]]&gt;0,"Increase",IF(Table2_1[[#This Row],[Oil_Growth_rate]]&lt;0,"Decline","No Value"))</f>
        <v>Decline</v>
      </c>
      <c r="L6" t="s">
        <v>28</v>
      </c>
      <c r="M6" t="s">
        <v>41</v>
      </c>
      <c r="N6" t="s">
        <v>77</v>
      </c>
      <c r="O6">
        <v>12.812000000000001</v>
      </c>
      <c r="P6" t="s">
        <v>34</v>
      </c>
      <c r="Y6" s="12" t="s">
        <v>65</v>
      </c>
      <c r="Z6" s="12">
        <f>MAX(Table2_1[GDP growth])</f>
        <v>15.329000000000001</v>
      </c>
      <c r="AA6" s="12">
        <f>_xlfn.XLOOKUP(MAX(Table2_1[GDP growth]),Table2_1[GDP growth],Table2_1[Years])</f>
        <v>2002</v>
      </c>
      <c r="AB6" s="12" t="s">
        <v>66</v>
      </c>
    </row>
    <row r="7" spans="1:28" ht="30" x14ac:dyDescent="0.25">
      <c r="A7">
        <v>2005</v>
      </c>
      <c r="B7">
        <v>6.4390000000000001</v>
      </c>
      <c r="C7">
        <v>26.088999999999999</v>
      </c>
      <c r="D7">
        <v>17.696000000000002</v>
      </c>
      <c r="E7">
        <v>175670569969.34601</v>
      </c>
      <c r="F7">
        <v>17.863</v>
      </c>
      <c r="G7">
        <v>131.274</v>
      </c>
      <c r="H7">
        <f>C6-Table2_1[[#This Row],[Agriculture Value]]</f>
        <v>1.1410000000000018</v>
      </c>
      <c r="I7" t="str">
        <f>IF(Table2_1[[#This Row],[Agriculture_Growth_Rate]]&gt;0,"Increase",IF(Table2_1[[#This Row],[Agriculture_Growth_Rate]]&lt;0,"Decline","No Value"))</f>
        <v>Increase</v>
      </c>
      <c r="J7">
        <f>D6-Table2_1[[#This Row],[Oil Rents]]</f>
        <v>-3.2780000000000022</v>
      </c>
      <c r="K7" t="str">
        <f>IF(Table2_1[[#This Row],[Oil_Growth_rate]]&gt;0,"Increase",IF(Table2_1[[#This Row],[Oil_Growth_rate]]&lt;0,"Decline","No Value"))</f>
        <v>Decline</v>
      </c>
      <c r="L7" t="s">
        <v>27</v>
      </c>
      <c r="M7" t="s">
        <v>41</v>
      </c>
      <c r="N7" t="s">
        <v>77</v>
      </c>
      <c r="O7">
        <v>8.3929999999999971</v>
      </c>
      <c r="P7" t="s">
        <v>34</v>
      </c>
      <c r="S7" s="2">
        <v>4</v>
      </c>
      <c r="T7" t="s">
        <v>10</v>
      </c>
      <c r="U7">
        <f>MAX(C:C)</f>
        <v>36.965000000000003</v>
      </c>
      <c r="Y7" s="12" t="s">
        <v>67</v>
      </c>
      <c r="Z7" s="12">
        <f>MAX(Table2_1[Agriculture Value])</f>
        <v>36.965000000000003</v>
      </c>
      <c r="AA7" s="12">
        <f>_xlfn.XLOOKUP(MAX(Table2_1[Agriculture Value]), Table2_1[Agriculture Value], Table2_1[Years])</f>
        <v>2002</v>
      </c>
      <c r="AB7" s="12" t="s">
        <v>68</v>
      </c>
    </row>
    <row r="8" spans="1:28" x14ac:dyDescent="0.25">
      <c r="A8">
        <v>2006</v>
      </c>
      <c r="B8">
        <v>6.0590000000000002</v>
      </c>
      <c r="C8">
        <v>24.734999999999999</v>
      </c>
      <c r="D8">
        <v>14.88</v>
      </c>
      <c r="E8">
        <v>238454997161.48001</v>
      </c>
      <c r="F8">
        <v>8.2249999999999996</v>
      </c>
      <c r="G8">
        <v>128.65199999999999</v>
      </c>
      <c r="H8">
        <f>C7-Table2_1[[#This Row],[Agriculture Value]]</f>
        <v>1.3539999999999992</v>
      </c>
      <c r="I8" t="str">
        <f>IF(Table2_1[[#This Row],[Agriculture_Growth_Rate]]&gt;0,"Increase",IF(Table2_1[[#This Row],[Agriculture_Growth_Rate]]&lt;0,"Decline","No Value"))</f>
        <v>Increase</v>
      </c>
      <c r="J8">
        <f>D7-Table2_1[[#This Row],[Oil Rents]]</f>
        <v>2.8160000000000007</v>
      </c>
      <c r="K8" t="str">
        <f>IF(Table2_1[[#This Row],[Oil_Growth_rate]]&gt;0,"Increase",IF(Table2_1[[#This Row],[Oil_Growth_rate]]&lt;0,"Decline","No Value"))</f>
        <v>Increase</v>
      </c>
      <c r="L8" t="s">
        <v>28</v>
      </c>
      <c r="M8" t="s">
        <v>41</v>
      </c>
      <c r="N8" t="s">
        <v>77</v>
      </c>
      <c r="O8">
        <v>9.8549999999999986</v>
      </c>
      <c r="P8" t="s">
        <v>34</v>
      </c>
      <c r="S8" s="2">
        <v>5</v>
      </c>
      <c r="T8" t="s">
        <v>11</v>
      </c>
      <c r="U8">
        <f>MAX(D:D)</f>
        <v>22.05</v>
      </c>
      <c r="Y8" s="12" t="s">
        <v>11</v>
      </c>
      <c r="Z8" s="12">
        <f>MAX(Table2_1[Oil Rents])</f>
        <v>22.05</v>
      </c>
      <c r="AA8" s="12">
        <f>_xlfn.XLOOKUP(MAX(Table2_1[Oil Rents]),Table2_1[Oil Rents],Table2_1[Years])</f>
        <v>2000</v>
      </c>
      <c r="AB8" s="12" t="s">
        <v>69</v>
      </c>
    </row>
    <row r="9" spans="1:28" ht="30" x14ac:dyDescent="0.25">
      <c r="A9">
        <v>2007</v>
      </c>
      <c r="B9">
        <v>6.5910000000000002</v>
      </c>
      <c r="C9">
        <v>24.663</v>
      </c>
      <c r="D9">
        <v>13.834</v>
      </c>
      <c r="E9">
        <v>278260846800.10303</v>
      </c>
      <c r="F9">
        <v>5.3879999999999999</v>
      </c>
      <c r="G9">
        <v>125.80800000000001</v>
      </c>
      <c r="H9">
        <f>C8-Table2_1[[#This Row],[Agriculture Value]]</f>
        <v>7.1999999999999176E-2</v>
      </c>
      <c r="I9" t="str">
        <f>IF(Table2_1[[#This Row],[Agriculture_Growth_Rate]]&gt;0,"Increase",IF(Table2_1[[#This Row],[Agriculture_Growth_Rate]]&lt;0,"Decline","No Value"))</f>
        <v>Increase</v>
      </c>
      <c r="J9">
        <f>D8-Table2_1[[#This Row],[Oil Rents]]</f>
        <v>1.0460000000000012</v>
      </c>
      <c r="K9" t="str">
        <f>IF(Table2_1[[#This Row],[Oil_Growth_rate]]&gt;0,"Increase",IF(Table2_1[[#This Row],[Oil_Growth_rate]]&lt;0,"Decline","No Value"))</f>
        <v>Increase</v>
      </c>
      <c r="L9" t="s">
        <v>28</v>
      </c>
      <c r="M9" t="s">
        <v>41</v>
      </c>
      <c r="N9" t="s">
        <v>77</v>
      </c>
      <c r="O9">
        <v>10.829000000000001</v>
      </c>
      <c r="P9" t="s">
        <v>34</v>
      </c>
      <c r="S9" s="2">
        <v>6</v>
      </c>
      <c r="T9" t="s">
        <v>49</v>
      </c>
      <c r="U9" s="7">
        <f>MAX(E:E)</f>
        <v>668219992691.46204</v>
      </c>
      <c r="Y9" s="12" t="s">
        <v>70</v>
      </c>
      <c r="Z9" s="12">
        <f>MAX(Table2_1[GDP (US$)])</f>
        <v>668219992691.46204</v>
      </c>
      <c r="AA9" s="12">
        <f>_xlfn.XLOOKUP(MAX(Table2_1[GDP (US$)]),Table2_1[GDP (US$)],Table2_1[Years])</f>
        <v>2019</v>
      </c>
      <c r="AB9" s="12" t="s">
        <v>71</v>
      </c>
    </row>
    <row r="10" spans="1:28" ht="30" x14ac:dyDescent="0.25">
      <c r="A10">
        <v>2008</v>
      </c>
      <c r="B10">
        <v>6.7640000000000002</v>
      </c>
      <c r="C10">
        <v>25.28</v>
      </c>
      <c r="D10">
        <v>15.53</v>
      </c>
      <c r="E10">
        <v>339476276257.79303</v>
      </c>
      <c r="F10">
        <v>11.581</v>
      </c>
      <c r="G10">
        <v>118.56699999999999</v>
      </c>
      <c r="H10">
        <f>C9-Table2_1[[#This Row],[Agriculture Value]]</f>
        <v>-0.61700000000000088</v>
      </c>
      <c r="I10" t="str">
        <f>IF(Table2_1[[#This Row],[Agriculture_Growth_Rate]]&gt;0,"Increase",IF(Table2_1[[#This Row],[Agriculture_Growth_Rate]]&lt;0,"Decline","No Value"))</f>
        <v>Decline</v>
      </c>
      <c r="J10">
        <f>D9-Table2_1[[#This Row],[Oil Rents]]</f>
        <v>-1.6959999999999997</v>
      </c>
      <c r="K10" t="str">
        <f>IF(Table2_1[[#This Row],[Oil_Growth_rate]]&gt;0,"Increase",IF(Table2_1[[#This Row],[Oil_Growth_rate]]&lt;0,"Decline","No Value"))</f>
        <v>Decline</v>
      </c>
      <c r="L10" t="s">
        <v>28</v>
      </c>
      <c r="M10" t="s">
        <v>41</v>
      </c>
      <c r="N10" t="s">
        <v>77</v>
      </c>
      <c r="O10">
        <v>9.7500000000000018</v>
      </c>
      <c r="P10" t="s">
        <v>34</v>
      </c>
      <c r="Y10" s="12" t="s">
        <v>72</v>
      </c>
      <c r="Z10" s="12">
        <f>COUNTIF(Table2_1[Dominant_Sector],"Agriculture")</f>
        <v>21</v>
      </c>
      <c r="AA10" s="12"/>
      <c r="AB10" s="12" t="s">
        <v>73</v>
      </c>
    </row>
    <row r="11" spans="1:28" ht="30" x14ac:dyDescent="0.25">
      <c r="A11">
        <v>2009</v>
      </c>
      <c r="B11">
        <v>8.0370000000000008</v>
      </c>
      <c r="C11">
        <v>26.748999999999999</v>
      </c>
      <c r="D11">
        <v>8.6739999999999995</v>
      </c>
      <c r="E11">
        <v>295008835380.99701</v>
      </c>
      <c r="F11">
        <v>12.538</v>
      </c>
      <c r="G11">
        <v>148.88</v>
      </c>
      <c r="H11">
        <f>C10-Table2_1[[#This Row],[Agriculture Value]]</f>
        <v>-1.4689999999999976</v>
      </c>
      <c r="I11" t="str">
        <f>IF(Table2_1[[#This Row],[Agriculture_Growth_Rate]]&gt;0,"Increase",IF(Table2_1[[#This Row],[Agriculture_Growth_Rate]]&lt;0,"Decline","No Value"))</f>
        <v>Decline</v>
      </c>
      <c r="J11">
        <f>D10-Table2_1[[#This Row],[Oil Rents]]</f>
        <v>6.8559999999999999</v>
      </c>
      <c r="K11" t="str">
        <f>IF(Table2_1[[#This Row],[Oil_Growth_rate]]&gt;0,"Increase",IF(Table2_1[[#This Row],[Oil_Growth_rate]]&lt;0,"Decline","No Value"))</f>
        <v>Increase</v>
      </c>
      <c r="L11" t="s">
        <v>28</v>
      </c>
      <c r="M11" t="s">
        <v>41</v>
      </c>
      <c r="N11" t="s">
        <v>77</v>
      </c>
      <c r="O11">
        <v>18.074999999999999</v>
      </c>
      <c r="P11" t="s">
        <v>34</v>
      </c>
      <c r="Y11" s="12" t="s">
        <v>74</v>
      </c>
      <c r="Z11" s="12">
        <f>COUNTIF(Table2_1[Dominant_Sector],"Oil")</f>
        <v>1</v>
      </c>
      <c r="AA11" s="12"/>
      <c r="AB11" s="12" t="s">
        <v>75</v>
      </c>
    </row>
    <row r="12" spans="1:28" x14ac:dyDescent="0.25">
      <c r="A12">
        <v>2010</v>
      </c>
      <c r="B12">
        <v>8.0060000000000002</v>
      </c>
      <c r="C12">
        <v>23.893999999999998</v>
      </c>
      <c r="D12">
        <v>12.099</v>
      </c>
      <c r="E12">
        <v>366990417129.03998</v>
      </c>
      <c r="F12">
        <v>13.74</v>
      </c>
      <c r="G12">
        <v>150.298</v>
      </c>
      <c r="H12">
        <f>C11-Table2_1[[#This Row],[Agriculture Value]]</f>
        <v>2.8550000000000004</v>
      </c>
      <c r="I12" t="str">
        <f>IF(Table2_1[[#This Row],[Agriculture_Growth_Rate]]&gt;0,"Increase",IF(Table2_1[[#This Row],[Agriculture_Growth_Rate]]&lt;0,"Decline","No Value"))</f>
        <v>Increase</v>
      </c>
      <c r="J12">
        <f>D11-Table2_1[[#This Row],[Oil Rents]]</f>
        <v>-3.4250000000000007</v>
      </c>
      <c r="K12" t="str">
        <f>IF(Table2_1[[#This Row],[Oil_Growth_rate]]&gt;0,"Increase",IF(Table2_1[[#This Row],[Oil_Growth_rate]]&lt;0,"Decline","No Value"))</f>
        <v>Decline</v>
      </c>
      <c r="L12" t="s">
        <v>28</v>
      </c>
      <c r="M12" t="s">
        <v>41</v>
      </c>
      <c r="N12" t="s">
        <v>77</v>
      </c>
      <c r="O12">
        <v>11.794999999999998</v>
      </c>
      <c r="P12" t="s">
        <v>34</v>
      </c>
      <c r="S12" s="2">
        <v>7</v>
      </c>
      <c r="T12" t="s">
        <v>12</v>
      </c>
      <c r="U12">
        <f>MIN(C:C)</f>
        <v>19.989999999999998</v>
      </c>
    </row>
    <row r="13" spans="1:28" x14ac:dyDescent="0.25">
      <c r="A13">
        <v>2011</v>
      </c>
      <c r="B13">
        <v>5.3079999999999998</v>
      </c>
      <c r="C13">
        <v>22.234999999999999</v>
      </c>
      <c r="D13">
        <v>15.510999999999999</v>
      </c>
      <c r="E13">
        <v>414466676831.15997</v>
      </c>
      <c r="F13">
        <v>10.826000000000001</v>
      </c>
      <c r="G13">
        <v>153.86199999999999</v>
      </c>
      <c r="H13">
        <f>C12-Table2_1[[#This Row],[Agriculture Value]]</f>
        <v>1.6589999999999989</v>
      </c>
      <c r="I13" t="str">
        <f>IF(Table2_1[[#This Row],[Agriculture_Growth_Rate]]&gt;0,"Increase",IF(Table2_1[[#This Row],[Agriculture_Growth_Rate]]&lt;0,"Decline","No Value"))</f>
        <v>Increase</v>
      </c>
      <c r="J13">
        <f>D12-Table2_1[[#This Row],[Oil Rents]]</f>
        <v>-3.411999999999999</v>
      </c>
      <c r="K13" t="str">
        <f>IF(Table2_1[[#This Row],[Oil_Growth_rate]]&gt;0,"Increase",IF(Table2_1[[#This Row],[Oil_Growth_rate]]&lt;0,"Decline","No Value"))</f>
        <v>Decline</v>
      </c>
      <c r="L13" t="s">
        <v>28</v>
      </c>
      <c r="M13" t="s">
        <v>41</v>
      </c>
      <c r="N13" t="s">
        <v>77</v>
      </c>
      <c r="O13">
        <v>6.7240000000000002</v>
      </c>
      <c r="P13" t="s">
        <v>34</v>
      </c>
      <c r="S13" s="2">
        <v>8</v>
      </c>
      <c r="T13" t="s">
        <v>13</v>
      </c>
      <c r="U13">
        <f>MIN(D:D)</f>
        <v>2.6840000000000002</v>
      </c>
      <c r="Y13" s="8"/>
      <c r="Z13" s="11"/>
      <c r="AA13" s="8"/>
      <c r="AB13" s="8"/>
    </row>
    <row r="14" spans="1:28" x14ac:dyDescent="0.25">
      <c r="A14">
        <v>2012</v>
      </c>
      <c r="B14">
        <v>4.2300000000000004</v>
      </c>
      <c r="C14">
        <v>21.86</v>
      </c>
      <c r="D14">
        <v>13.09</v>
      </c>
      <c r="E14">
        <v>463971018239.28003</v>
      </c>
      <c r="F14">
        <v>12.224</v>
      </c>
      <c r="G14">
        <v>157.5</v>
      </c>
      <c r="H14">
        <f>C13-Table2_1[[#This Row],[Agriculture Value]]</f>
        <v>0.375</v>
      </c>
      <c r="I14" t="str">
        <f>IF(Table2_1[[#This Row],[Agriculture_Growth_Rate]]&gt;0,"Increase",IF(Table2_1[[#This Row],[Agriculture_Growth_Rate]]&lt;0,"Decline","No Value"))</f>
        <v>Increase</v>
      </c>
      <c r="J14">
        <f>D13-Table2_1[[#This Row],[Oil Rents]]</f>
        <v>2.4209999999999994</v>
      </c>
      <c r="K14" t="str">
        <f>IF(Table2_1[[#This Row],[Oil_Growth_rate]]&gt;0,"Increase",IF(Table2_1[[#This Row],[Oil_Growth_rate]]&lt;0,"Decline","No Value"))</f>
        <v>Increase</v>
      </c>
      <c r="L14" t="s">
        <v>28</v>
      </c>
      <c r="M14" t="s">
        <v>41</v>
      </c>
      <c r="N14" t="s">
        <v>78</v>
      </c>
      <c r="O14">
        <v>8.77</v>
      </c>
      <c r="P14" t="s">
        <v>34</v>
      </c>
      <c r="S14" s="2">
        <v>9</v>
      </c>
      <c r="T14" t="s">
        <v>50</v>
      </c>
      <c r="U14" s="7">
        <f>MIN(E:E)</f>
        <v>69171451627.246002</v>
      </c>
      <c r="Y14" s="8"/>
      <c r="Z14" s="11"/>
      <c r="AA14" s="8"/>
      <c r="AB14" s="8"/>
    </row>
    <row r="15" spans="1:28" x14ac:dyDescent="0.25">
      <c r="A15">
        <v>2013</v>
      </c>
      <c r="B15">
        <v>6.6710000000000003</v>
      </c>
      <c r="C15">
        <v>20.759</v>
      </c>
      <c r="D15">
        <v>9.8800000000000008</v>
      </c>
      <c r="E15">
        <v>520117180313.90601</v>
      </c>
      <c r="F15">
        <v>8.4960000000000004</v>
      </c>
      <c r="G15">
        <v>157.31200000000001</v>
      </c>
      <c r="H15">
        <f>C14-Table2_1[[#This Row],[Agriculture Value]]</f>
        <v>1.1009999999999991</v>
      </c>
      <c r="I15" t="str">
        <f>IF(Table2_1[[#This Row],[Agriculture_Growth_Rate]]&gt;0,"Increase",IF(Table2_1[[#This Row],[Agriculture_Growth_Rate]]&lt;0,"Decline","No Value"))</f>
        <v>Increase</v>
      </c>
      <c r="J15">
        <f>D14-Table2_1[[#This Row],[Oil Rents]]</f>
        <v>3.2099999999999991</v>
      </c>
      <c r="K15" t="str">
        <f>IF(Table2_1[[#This Row],[Oil_Growth_rate]]&gt;0,"Increase",IF(Table2_1[[#This Row],[Oil_Growth_rate]]&lt;0,"Decline","No Value"))</f>
        <v>Increase</v>
      </c>
      <c r="L15" t="s">
        <v>28</v>
      </c>
      <c r="M15" t="s">
        <v>41</v>
      </c>
      <c r="N15" t="s">
        <v>77</v>
      </c>
      <c r="O15">
        <v>10.879</v>
      </c>
      <c r="P15" t="s">
        <v>34</v>
      </c>
      <c r="Y15" s="8"/>
      <c r="Z15" s="9"/>
      <c r="AA15" s="8"/>
      <c r="AB15" s="8"/>
    </row>
    <row r="16" spans="1:28" x14ac:dyDescent="0.25">
      <c r="A16">
        <v>2014</v>
      </c>
      <c r="B16">
        <v>6.31</v>
      </c>
      <c r="C16">
        <v>19.989999999999998</v>
      </c>
      <c r="D16">
        <v>7.0739999999999998</v>
      </c>
      <c r="E16">
        <v>574183763411.50806</v>
      </c>
      <c r="F16">
        <v>8.0470000000000006</v>
      </c>
      <c r="G16">
        <v>158.553</v>
      </c>
      <c r="H16">
        <f>C15-Table2_1[[#This Row],[Agriculture Value]]</f>
        <v>0.7690000000000019</v>
      </c>
      <c r="I16" t="str">
        <f>IF(Table2_1[[#This Row],[Agriculture_Growth_Rate]]&gt;0,"Increase",IF(Table2_1[[#This Row],[Agriculture_Growth_Rate]]&lt;0,"Decline","No Value"))</f>
        <v>Increase</v>
      </c>
      <c r="J16">
        <f>D15-Table2_1[[#This Row],[Oil Rents]]</f>
        <v>2.8060000000000009</v>
      </c>
      <c r="K16" t="str">
        <f>IF(Table2_1[[#This Row],[Oil_Growth_rate]]&gt;0,"Increase",IF(Table2_1[[#This Row],[Oil_Growth_rate]]&lt;0,"Decline","No Value"))</f>
        <v>Increase</v>
      </c>
      <c r="L16" t="s">
        <v>28</v>
      </c>
      <c r="M16" t="s">
        <v>41</v>
      </c>
      <c r="N16" t="s">
        <v>77</v>
      </c>
      <c r="O16">
        <v>12.915999999999999</v>
      </c>
      <c r="P16" t="s">
        <v>34</v>
      </c>
      <c r="Y16" s="8"/>
      <c r="Z16" s="9"/>
      <c r="AA16" s="8"/>
      <c r="AB16" s="8"/>
    </row>
    <row r="17" spans="1:28" x14ac:dyDescent="0.25">
      <c r="A17">
        <v>2015</v>
      </c>
      <c r="B17">
        <v>2.653</v>
      </c>
      <c r="C17">
        <v>20.632000000000001</v>
      </c>
      <c r="D17">
        <v>2.7829999999999999</v>
      </c>
      <c r="E17">
        <v>493026682800.63</v>
      </c>
      <c r="F17">
        <v>9.0090000000000003</v>
      </c>
      <c r="G17">
        <v>192.44</v>
      </c>
      <c r="H17">
        <f>C16-Table2_1[[#This Row],[Agriculture Value]]</f>
        <v>-0.64200000000000301</v>
      </c>
      <c r="I17" t="str">
        <f>IF(Table2_1[[#This Row],[Agriculture_Growth_Rate]]&gt;0,"Increase",IF(Table2_1[[#This Row],[Agriculture_Growth_Rate]]&lt;0,"Decline","No Value"))</f>
        <v>Decline</v>
      </c>
      <c r="J17">
        <f>D16-Table2_1[[#This Row],[Oil Rents]]</f>
        <v>4.2910000000000004</v>
      </c>
      <c r="K17" t="str">
        <f>IF(Table2_1[[#This Row],[Oil_Growth_rate]]&gt;0,"Increase",IF(Table2_1[[#This Row],[Oil_Growth_rate]]&lt;0,"Decline","No Value"))</f>
        <v>Increase</v>
      </c>
      <c r="L17" t="s">
        <v>28</v>
      </c>
      <c r="M17" t="s">
        <v>41</v>
      </c>
      <c r="N17" t="s">
        <v>78</v>
      </c>
      <c r="O17">
        <v>17.849</v>
      </c>
      <c r="P17" t="s">
        <v>34</v>
      </c>
      <c r="S17" s="2">
        <v>10</v>
      </c>
      <c r="T17" t="s">
        <v>14</v>
      </c>
      <c r="U17">
        <f>_xlfn.STDEV.S(C:C)</f>
        <v>4.3830260534568097</v>
      </c>
      <c r="Y17" s="8"/>
      <c r="Z17" s="10"/>
      <c r="AA17" s="8"/>
      <c r="AB17" s="8"/>
    </row>
    <row r="18" spans="1:28" x14ac:dyDescent="0.25">
      <c r="A18">
        <v>2016</v>
      </c>
      <c r="B18">
        <v>-1.617</v>
      </c>
      <c r="C18">
        <v>20.983000000000001</v>
      </c>
      <c r="D18">
        <v>2.6840000000000002</v>
      </c>
      <c r="E18">
        <v>404649125252.15997</v>
      </c>
      <c r="F18">
        <v>15.696999999999999</v>
      </c>
      <c r="G18">
        <v>253.49199999999999</v>
      </c>
      <c r="H18">
        <f>C17-Table2_1[[#This Row],[Agriculture Value]]</f>
        <v>-0.35099999999999909</v>
      </c>
      <c r="I18" t="str">
        <f>IF(Table2_1[[#This Row],[Agriculture_Growth_Rate]]&gt;0,"Increase",IF(Table2_1[[#This Row],[Agriculture_Growth_Rate]]&lt;0,"Decline","No Value"))</f>
        <v>Decline</v>
      </c>
      <c r="J18">
        <f>D17-Table2_1[[#This Row],[Oil Rents]]</f>
        <v>9.8999999999999755E-2</v>
      </c>
      <c r="K18" t="str">
        <f>IF(Table2_1[[#This Row],[Oil_Growth_rate]]&gt;0,"Increase",IF(Table2_1[[#This Row],[Oil_Growth_rate]]&lt;0,"Decline","No Value"))</f>
        <v>Increase</v>
      </c>
      <c r="L18" t="s">
        <v>27</v>
      </c>
      <c r="M18" t="s">
        <v>41</v>
      </c>
      <c r="N18" t="s">
        <v>76</v>
      </c>
      <c r="O18">
        <v>18.298999999999999</v>
      </c>
      <c r="P18" t="s">
        <v>34</v>
      </c>
      <c r="S18" s="2">
        <v>11</v>
      </c>
      <c r="T18" t="s">
        <v>15</v>
      </c>
      <c r="U18">
        <f>_xlfn.STDEV.S(D:D)</f>
        <v>5.203831772746657</v>
      </c>
    </row>
    <row r="19" spans="1:28" x14ac:dyDescent="0.25">
      <c r="A19">
        <v>2017</v>
      </c>
      <c r="B19">
        <v>0.80600000000000005</v>
      </c>
      <c r="C19">
        <v>20.847000000000001</v>
      </c>
      <c r="D19">
        <v>5.4729999999999999</v>
      </c>
      <c r="E19">
        <v>375745731053.427</v>
      </c>
      <c r="F19">
        <v>16.501999999999999</v>
      </c>
      <c r="G19">
        <v>305.79000000000002</v>
      </c>
      <c r="H19">
        <f>C18-Table2_1[[#This Row],[Agriculture Value]]</f>
        <v>0.13599999999999923</v>
      </c>
      <c r="I19" t="str">
        <f>IF(Table2_1[[#This Row],[Agriculture_Growth_Rate]]&gt;0,"Increase",IF(Table2_1[[#This Row],[Agriculture_Growth_Rate]]&lt;0,"Decline","No Value"))</f>
        <v>Increase</v>
      </c>
      <c r="J19">
        <f>D18-Table2_1[[#This Row],[Oil Rents]]</f>
        <v>-2.7889999999999997</v>
      </c>
      <c r="K19" t="str">
        <f>IF(Table2_1[[#This Row],[Oil_Growth_rate]]&gt;0,"Increase",IF(Table2_1[[#This Row],[Oil_Growth_rate]]&lt;0,"Decline","No Value"))</f>
        <v>Decline</v>
      </c>
      <c r="L19" t="s">
        <v>27</v>
      </c>
      <c r="M19" t="s">
        <v>40</v>
      </c>
      <c r="N19" t="s">
        <v>78</v>
      </c>
      <c r="O19">
        <v>15.374000000000002</v>
      </c>
      <c r="P19" t="s">
        <v>34</v>
      </c>
      <c r="S19" s="2">
        <v>12</v>
      </c>
      <c r="T19" t="s">
        <v>51</v>
      </c>
      <c r="U19">
        <f>_xlfn.STDEV.S(E:E)</f>
        <v>186896514564.13348</v>
      </c>
    </row>
    <row r="20" spans="1:28" x14ac:dyDescent="0.25">
      <c r="A20">
        <v>2018</v>
      </c>
      <c r="B20">
        <v>1.923</v>
      </c>
      <c r="C20">
        <v>21.204000000000001</v>
      </c>
      <c r="D20">
        <v>7.6909999999999998</v>
      </c>
      <c r="E20">
        <v>421739251509.08002</v>
      </c>
      <c r="F20">
        <v>12.095000000000001</v>
      </c>
      <c r="G20">
        <v>306.084</v>
      </c>
      <c r="H20">
        <f>C19-Table2_1[[#This Row],[Agriculture Value]]</f>
        <v>-0.35699999999999932</v>
      </c>
      <c r="I20" t="str">
        <f>IF(Table2_1[[#This Row],[Agriculture_Growth_Rate]]&gt;0,"Increase",IF(Table2_1[[#This Row],[Agriculture_Growth_Rate]]&lt;0,"Decline","No Value"))</f>
        <v>Decline</v>
      </c>
      <c r="J20">
        <f>D19-Table2_1[[#This Row],[Oil Rents]]</f>
        <v>-2.218</v>
      </c>
      <c r="K20" t="str">
        <f>IF(Table2_1[[#This Row],[Oil_Growth_rate]]&gt;0,"Increase",IF(Table2_1[[#This Row],[Oil_Growth_rate]]&lt;0,"Decline","No Value"))</f>
        <v>Decline</v>
      </c>
      <c r="L20" t="s">
        <v>28</v>
      </c>
      <c r="M20" t="s">
        <v>40</v>
      </c>
      <c r="N20" t="s">
        <v>78</v>
      </c>
      <c r="O20">
        <v>13.513000000000002</v>
      </c>
      <c r="P20" t="s">
        <v>34</v>
      </c>
    </row>
    <row r="21" spans="1:28" x14ac:dyDescent="0.25">
      <c r="A21">
        <v>2019</v>
      </c>
      <c r="B21">
        <v>2.2080000000000002</v>
      </c>
      <c r="C21">
        <v>25.734999999999999</v>
      </c>
      <c r="D21">
        <v>6.5149999999999997</v>
      </c>
      <c r="E21">
        <v>668219992691.46204</v>
      </c>
      <c r="F21">
        <v>11.396000000000001</v>
      </c>
      <c r="G21">
        <v>306.92099999999999</v>
      </c>
      <c r="H21">
        <f>C20-Table2_1[[#This Row],[Agriculture Value]]</f>
        <v>-4.5309999999999988</v>
      </c>
      <c r="I21" t="str">
        <f>IF(Table2_1[[#This Row],[Agriculture_Growth_Rate]]&gt;0,"Increase",IF(Table2_1[[#This Row],[Agriculture_Growth_Rate]]&lt;0,"Decline","No Value"))</f>
        <v>Decline</v>
      </c>
      <c r="J21">
        <f>D20-Table2_1[[#This Row],[Oil Rents]]</f>
        <v>1.1760000000000002</v>
      </c>
      <c r="K21" t="str">
        <f>IF(Table2_1[[#This Row],[Oil_Growth_rate]]&gt;0,"Increase",IF(Table2_1[[#This Row],[Oil_Growth_rate]]&lt;0,"Decline","No Value"))</f>
        <v>Increase</v>
      </c>
      <c r="L21" t="s">
        <v>28</v>
      </c>
      <c r="M21" t="s">
        <v>40</v>
      </c>
      <c r="N21" t="s">
        <v>78</v>
      </c>
      <c r="O21">
        <v>19.22</v>
      </c>
      <c r="P21" t="s">
        <v>34</v>
      </c>
      <c r="T21" t="s">
        <v>18</v>
      </c>
    </row>
    <row r="22" spans="1:28" x14ac:dyDescent="0.25">
      <c r="A22">
        <v>2020</v>
      </c>
      <c r="B22">
        <v>-6.3689999999999998</v>
      </c>
      <c r="C22">
        <v>28.344999999999999</v>
      </c>
      <c r="D22">
        <v>3.3119999999999998</v>
      </c>
      <c r="E22">
        <v>598586817819.073</v>
      </c>
      <c r="F22">
        <v>13.246</v>
      </c>
      <c r="G22">
        <v>358.81099999999998</v>
      </c>
      <c r="H22">
        <f>C21-Table2_1[[#This Row],[Agriculture Value]]</f>
        <v>-2.6099999999999994</v>
      </c>
      <c r="I22" t="str">
        <f>IF(Table2_1[[#This Row],[Agriculture_Growth_Rate]]&gt;0,"Increase",IF(Table2_1[[#This Row],[Agriculture_Growth_Rate]]&lt;0,"Decline","No Value"))</f>
        <v>Decline</v>
      </c>
      <c r="J22">
        <f>D21-Table2_1[[#This Row],[Oil Rents]]</f>
        <v>3.2029999999999998</v>
      </c>
      <c r="K22" t="str">
        <f>IF(Table2_1[[#This Row],[Oil_Growth_rate]]&gt;0,"Increase",IF(Table2_1[[#This Row],[Oil_Growth_rate]]&lt;0,"Decline","No Value"))</f>
        <v>Increase</v>
      </c>
      <c r="L22" t="s">
        <v>28</v>
      </c>
      <c r="M22" t="s">
        <v>40</v>
      </c>
      <c r="N22" t="s">
        <v>76</v>
      </c>
      <c r="O22">
        <v>25.032999999999998</v>
      </c>
      <c r="P22" t="s">
        <v>34</v>
      </c>
      <c r="S22" s="3">
        <v>1</v>
      </c>
      <c r="T22" t="s">
        <v>20</v>
      </c>
      <c r="U22">
        <f>CORREL(H:H,B:B)</f>
        <v>-0.11577046888217847</v>
      </c>
    </row>
    <row r="23" spans="1:28" x14ac:dyDescent="0.25">
      <c r="A23">
        <v>2021</v>
      </c>
      <c r="B23">
        <v>1.109</v>
      </c>
      <c r="C23">
        <v>29.388000000000002</v>
      </c>
      <c r="D23">
        <v>6.2469999999999999</v>
      </c>
      <c r="E23">
        <v>609147716972.85901</v>
      </c>
      <c r="F23">
        <v>16.952999999999999</v>
      </c>
      <c r="G23">
        <v>401.15199999999999</v>
      </c>
      <c r="H23">
        <f>C22-Table2_1[[#This Row],[Agriculture Value]]</f>
        <v>-1.0430000000000028</v>
      </c>
      <c r="I23" t="str">
        <f>IF(Table2_1[[#This Row],[Agriculture_Growth_Rate]]&gt;0,"Increase",IF(Table2_1[[#This Row],[Agriculture_Growth_Rate]]&lt;0,"Decline","No Value"))</f>
        <v>Decline</v>
      </c>
      <c r="J23">
        <f>D22-Table2_1[[#This Row],[Oil Rents]]</f>
        <v>-2.9350000000000001</v>
      </c>
      <c r="K23" t="str">
        <f>IF(Table2_1[[#This Row],[Oil_Growth_rate]]&gt;0,"Increase",IF(Table2_1[[#This Row],[Oil_Growth_rate]]&lt;0,"Decline","No Value"))</f>
        <v>Decline</v>
      </c>
      <c r="L23" t="s">
        <v>27</v>
      </c>
      <c r="M23" t="s">
        <v>40</v>
      </c>
      <c r="N23" t="s">
        <v>78</v>
      </c>
      <c r="O23">
        <v>23.141000000000002</v>
      </c>
      <c r="P23" t="s">
        <v>34</v>
      </c>
      <c r="S23" s="3">
        <v>2</v>
      </c>
      <c r="T23" t="s">
        <v>21</v>
      </c>
      <c r="U23">
        <f>CORREL(J:J,B:B)</f>
        <v>0.10445188717327711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9164-E238-4C6F-8E93-E957F9231903}">
  <dimension ref="A1:E54"/>
  <sheetViews>
    <sheetView topLeftCell="A7" workbookViewId="0">
      <selection activeCell="E50" sqref="E50"/>
    </sheetView>
  </sheetViews>
  <sheetFormatPr defaultRowHeight="15" x14ac:dyDescent="0.25"/>
  <cols>
    <col min="1" max="1" width="18.5703125" bestFit="1" customWidth="1"/>
    <col min="2" max="2" width="21.85546875" bestFit="1" customWidth="1"/>
    <col min="3" max="3" width="26.5703125" bestFit="1" customWidth="1"/>
    <col min="4" max="4" width="18.85546875" bestFit="1" customWidth="1"/>
    <col min="5" max="5" width="22.85546875" bestFit="1" customWidth="1"/>
    <col min="8" max="8" width="18.5703125" bestFit="1" customWidth="1"/>
    <col min="9" max="9" width="21.85546875" bestFit="1" customWidth="1"/>
    <col min="10" max="10" width="26.5703125" bestFit="1" customWidth="1"/>
    <col min="11" max="11" width="18.85546875" bestFit="1" customWidth="1"/>
  </cols>
  <sheetData>
    <row r="1" spans="1:5" x14ac:dyDescent="0.25">
      <c r="B1" t="s">
        <v>38</v>
      </c>
    </row>
    <row r="3" spans="1:5" x14ac:dyDescent="0.25">
      <c r="A3" s="4" t="s">
        <v>30</v>
      </c>
      <c r="B3" t="s">
        <v>52</v>
      </c>
      <c r="C3" t="s">
        <v>53</v>
      </c>
    </row>
    <row r="4" spans="1:5" x14ac:dyDescent="0.25">
      <c r="A4" s="5" t="s">
        <v>27</v>
      </c>
      <c r="B4">
        <v>5</v>
      </c>
      <c r="C4">
        <v>5</v>
      </c>
    </row>
    <row r="5" spans="1:5" x14ac:dyDescent="0.25">
      <c r="A5" s="5" t="s">
        <v>28</v>
      </c>
      <c r="B5">
        <v>17</v>
      </c>
      <c r="C5">
        <v>17</v>
      </c>
    </row>
    <row r="6" spans="1:5" x14ac:dyDescent="0.25">
      <c r="A6" s="5" t="s">
        <v>24</v>
      </c>
      <c r="B6">
        <v>22</v>
      </c>
      <c r="C6">
        <v>22</v>
      </c>
    </row>
    <row r="11" spans="1:5" x14ac:dyDescent="0.25">
      <c r="B11" t="s">
        <v>33</v>
      </c>
    </row>
    <row r="13" spans="1:5" x14ac:dyDescent="0.25">
      <c r="A13" s="4" t="s">
        <v>0</v>
      </c>
      <c r="B13" t="s">
        <v>29</v>
      </c>
      <c r="C13" t="s">
        <v>25</v>
      </c>
      <c r="D13" t="s">
        <v>26</v>
      </c>
      <c r="E13" t="s">
        <v>31</v>
      </c>
    </row>
    <row r="14" spans="1:5" x14ac:dyDescent="0.25">
      <c r="A14" s="5">
        <v>2000</v>
      </c>
      <c r="B14">
        <v>5.016</v>
      </c>
      <c r="C14">
        <v>21.356999999999999</v>
      </c>
      <c r="D14">
        <v>22.05</v>
      </c>
      <c r="E14">
        <v>6.9329999999999998</v>
      </c>
    </row>
    <row r="15" spans="1:5" x14ac:dyDescent="0.25">
      <c r="A15" s="5">
        <v>2001</v>
      </c>
      <c r="B15">
        <v>5.9180000000000001</v>
      </c>
      <c r="C15">
        <v>24.475000000000001</v>
      </c>
      <c r="D15">
        <v>15.234999999999999</v>
      </c>
      <c r="E15">
        <v>18.873999999999999</v>
      </c>
    </row>
    <row r="16" spans="1:5" x14ac:dyDescent="0.25">
      <c r="A16" s="5">
        <v>2002</v>
      </c>
      <c r="B16">
        <v>15.329000000000001</v>
      </c>
      <c r="C16">
        <v>36.965000000000003</v>
      </c>
      <c r="D16">
        <v>11.145</v>
      </c>
      <c r="E16">
        <v>12.877000000000001</v>
      </c>
    </row>
    <row r="17" spans="1:5" x14ac:dyDescent="0.25">
      <c r="A17" s="5">
        <v>2003</v>
      </c>
      <c r="B17">
        <v>7.3470000000000004</v>
      </c>
      <c r="C17">
        <v>33.826999999999998</v>
      </c>
      <c r="D17">
        <v>12.12</v>
      </c>
      <c r="E17">
        <v>14.032</v>
      </c>
    </row>
    <row r="18" spans="1:5" x14ac:dyDescent="0.25">
      <c r="A18" s="5">
        <v>2004</v>
      </c>
      <c r="B18">
        <v>9.2509999999999994</v>
      </c>
      <c r="C18">
        <v>27.23</v>
      </c>
      <c r="D18">
        <v>14.417999999999999</v>
      </c>
      <c r="E18">
        <v>14.997999999999999</v>
      </c>
    </row>
    <row r="19" spans="1:5" x14ac:dyDescent="0.25">
      <c r="A19" s="5">
        <v>2005</v>
      </c>
      <c r="B19">
        <v>6.4390000000000001</v>
      </c>
      <c r="C19">
        <v>26.088999999999999</v>
      </c>
      <c r="D19">
        <v>17.696000000000002</v>
      </c>
      <c r="E19">
        <v>17.863</v>
      </c>
    </row>
    <row r="20" spans="1:5" x14ac:dyDescent="0.25">
      <c r="A20" s="5">
        <v>2006</v>
      </c>
      <c r="B20">
        <v>6.0590000000000002</v>
      </c>
      <c r="C20">
        <v>24.734999999999999</v>
      </c>
      <c r="D20">
        <v>14.88</v>
      </c>
      <c r="E20">
        <v>8.2249999999999996</v>
      </c>
    </row>
    <row r="21" spans="1:5" x14ac:dyDescent="0.25">
      <c r="A21" s="5">
        <v>2007</v>
      </c>
      <c r="B21">
        <v>6.5910000000000002</v>
      </c>
      <c r="C21">
        <v>24.663</v>
      </c>
      <c r="D21">
        <v>13.834</v>
      </c>
      <c r="E21">
        <v>5.3879999999999999</v>
      </c>
    </row>
    <row r="22" spans="1:5" x14ac:dyDescent="0.25">
      <c r="A22" s="5">
        <v>2008</v>
      </c>
      <c r="B22">
        <v>6.7640000000000002</v>
      </c>
      <c r="C22">
        <v>25.28</v>
      </c>
      <c r="D22">
        <v>15.53</v>
      </c>
      <c r="E22">
        <v>11.581</v>
      </c>
    </row>
    <row r="23" spans="1:5" x14ac:dyDescent="0.25">
      <c r="A23" s="5">
        <v>2009</v>
      </c>
      <c r="B23">
        <v>8.0370000000000008</v>
      </c>
      <c r="C23">
        <v>26.748999999999999</v>
      </c>
      <c r="D23">
        <v>8.6739999999999995</v>
      </c>
      <c r="E23">
        <v>12.538</v>
      </c>
    </row>
    <row r="24" spans="1:5" x14ac:dyDescent="0.25">
      <c r="A24" s="5">
        <v>2010</v>
      </c>
      <c r="B24">
        <v>8.0060000000000002</v>
      </c>
      <c r="C24">
        <v>23.893999999999998</v>
      </c>
      <c r="D24">
        <v>12.099</v>
      </c>
      <c r="E24">
        <v>13.74</v>
      </c>
    </row>
    <row r="25" spans="1:5" x14ac:dyDescent="0.25">
      <c r="A25" s="5">
        <v>2011</v>
      </c>
      <c r="B25">
        <v>5.3079999999999998</v>
      </c>
      <c r="C25">
        <v>22.234999999999999</v>
      </c>
      <c r="D25">
        <v>15.510999999999999</v>
      </c>
      <c r="E25">
        <v>10.826000000000001</v>
      </c>
    </row>
    <row r="26" spans="1:5" x14ac:dyDescent="0.25">
      <c r="A26" s="5">
        <v>2012</v>
      </c>
      <c r="B26">
        <v>4.2300000000000004</v>
      </c>
      <c r="C26">
        <v>21.86</v>
      </c>
      <c r="D26">
        <v>13.09</v>
      </c>
      <c r="E26">
        <v>12.224</v>
      </c>
    </row>
    <row r="27" spans="1:5" x14ac:dyDescent="0.25">
      <c r="A27" s="5">
        <v>2013</v>
      </c>
      <c r="B27">
        <v>6.6710000000000003</v>
      </c>
      <c r="C27">
        <v>20.759</v>
      </c>
      <c r="D27">
        <v>9.8800000000000008</v>
      </c>
      <c r="E27">
        <v>8.4960000000000004</v>
      </c>
    </row>
    <row r="28" spans="1:5" x14ac:dyDescent="0.25">
      <c r="A28" s="5">
        <v>2014</v>
      </c>
      <c r="B28">
        <v>6.31</v>
      </c>
      <c r="C28">
        <v>19.989999999999998</v>
      </c>
      <c r="D28">
        <v>7.0739999999999998</v>
      </c>
      <c r="E28">
        <v>8.0470000000000006</v>
      </c>
    </row>
    <row r="29" spans="1:5" x14ac:dyDescent="0.25">
      <c r="A29" s="5">
        <v>2015</v>
      </c>
      <c r="B29">
        <v>2.653</v>
      </c>
      <c r="C29">
        <v>20.632000000000001</v>
      </c>
      <c r="D29">
        <v>2.7829999999999999</v>
      </c>
      <c r="E29">
        <v>9.0090000000000003</v>
      </c>
    </row>
    <row r="30" spans="1:5" x14ac:dyDescent="0.25">
      <c r="A30" s="5">
        <v>2016</v>
      </c>
      <c r="B30">
        <v>-1.617</v>
      </c>
      <c r="C30">
        <v>20.983000000000001</v>
      </c>
      <c r="D30">
        <v>2.6840000000000002</v>
      </c>
      <c r="E30">
        <v>15.696999999999999</v>
      </c>
    </row>
    <row r="31" spans="1:5" x14ac:dyDescent="0.25">
      <c r="A31" s="5">
        <v>2017</v>
      </c>
      <c r="B31">
        <v>0.80600000000000005</v>
      </c>
      <c r="C31">
        <v>20.847000000000001</v>
      </c>
      <c r="D31">
        <v>5.4729999999999999</v>
      </c>
      <c r="E31">
        <v>16.501999999999999</v>
      </c>
    </row>
    <row r="32" spans="1:5" x14ac:dyDescent="0.25">
      <c r="A32" s="5">
        <v>2018</v>
      </c>
      <c r="B32">
        <v>1.923</v>
      </c>
      <c r="C32">
        <v>21.204000000000001</v>
      </c>
      <c r="D32">
        <v>7.6909999999999998</v>
      </c>
      <c r="E32">
        <v>12.095000000000001</v>
      </c>
    </row>
    <row r="33" spans="1:5" x14ac:dyDescent="0.25">
      <c r="A33" s="5">
        <v>2019</v>
      </c>
      <c r="B33">
        <v>2.2080000000000002</v>
      </c>
      <c r="C33">
        <v>25.734999999999999</v>
      </c>
      <c r="D33">
        <v>6.5149999999999997</v>
      </c>
      <c r="E33">
        <v>11.396000000000001</v>
      </c>
    </row>
    <row r="34" spans="1:5" x14ac:dyDescent="0.25">
      <c r="A34" s="5">
        <v>2020</v>
      </c>
      <c r="B34">
        <v>-6.3689999999999998</v>
      </c>
      <c r="C34">
        <v>28.344999999999999</v>
      </c>
      <c r="D34">
        <v>3.3119999999999998</v>
      </c>
      <c r="E34">
        <v>13.246</v>
      </c>
    </row>
    <row r="35" spans="1:5" x14ac:dyDescent="0.25">
      <c r="A35" s="5">
        <v>2021</v>
      </c>
      <c r="B35">
        <v>1.109</v>
      </c>
      <c r="C35">
        <v>29.388000000000002</v>
      </c>
      <c r="D35">
        <v>6.2469999999999999</v>
      </c>
      <c r="E35">
        <v>16.952999999999999</v>
      </c>
    </row>
    <row r="36" spans="1:5" x14ac:dyDescent="0.25">
      <c r="A36" s="5" t="s">
        <v>24</v>
      </c>
      <c r="B36">
        <v>4.9085909090909094</v>
      </c>
      <c r="C36">
        <v>24.874636363636366</v>
      </c>
      <c r="D36">
        <v>10.815499999999998</v>
      </c>
      <c r="E36">
        <v>12.342727272727274</v>
      </c>
    </row>
    <row r="40" spans="1:5" x14ac:dyDescent="0.25">
      <c r="B40" t="s">
        <v>37</v>
      </c>
    </row>
    <row r="42" spans="1:5" x14ac:dyDescent="0.25">
      <c r="A42" s="4" t="s">
        <v>36</v>
      </c>
      <c r="B42" t="s">
        <v>29</v>
      </c>
      <c r="C42" t="s">
        <v>25</v>
      </c>
      <c r="D42" t="s">
        <v>26</v>
      </c>
    </row>
    <row r="43" spans="1:5" x14ac:dyDescent="0.25">
      <c r="A43" s="5" t="s">
        <v>34</v>
      </c>
      <c r="B43">
        <v>4.9034761904761908</v>
      </c>
      <c r="C43">
        <v>25.042142857142863</v>
      </c>
      <c r="D43">
        <v>10.28052380952381</v>
      </c>
    </row>
    <row r="44" spans="1:5" x14ac:dyDescent="0.25">
      <c r="A44" s="5" t="s">
        <v>35</v>
      </c>
      <c r="B44">
        <v>5.016</v>
      </c>
      <c r="C44">
        <v>21.356999999999999</v>
      </c>
      <c r="D44">
        <v>22.05</v>
      </c>
    </row>
    <row r="45" spans="1:5" x14ac:dyDescent="0.25">
      <c r="A45" s="5" t="s">
        <v>24</v>
      </c>
      <c r="B45">
        <v>4.9085909090909103</v>
      </c>
      <c r="C45">
        <v>24.874636363636366</v>
      </c>
      <c r="D45">
        <v>10.815500000000002</v>
      </c>
    </row>
    <row r="49" spans="1:4" x14ac:dyDescent="0.25">
      <c r="B49" t="s">
        <v>43</v>
      </c>
    </row>
    <row r="51" spans="1:4" x14ac:dyDescent="0.25">
      <c r="A51" s="4" t="s">
        <v>42</v>
      </c>
      <c r="B51" t="s">
        <v>29</v>
      </c>
      <c r="C51" t="s">
        <v>25</v>
      </c>
      <c r="D51" t="s">
        <v>26</v>
      </c>
    </row>
    <row r="52" spans="1:4" x14ac:dyDescent="0.25">
      <c r="A52" s="5" t="s">
        <v>40</v>
      </c>
      <c r="B52">
        <v>-6.4599999999999907E-2</v>
      </c>
      <c r="C52">
        <v>25.1038</v>
      </c>
      <c r="D52">
        <v>5.8475999999999999</v>
      </c>
    </row>
    <row r="53" spans="1:4" x14ac:dyDescent="0.25">
      <c r="A53" s="5" t="s">
        <v>41</v>
      </c>
      <c r="B53">
        <v>6.3712941176470599</v>
      </c>
      <c r="C53">
        <v>24.80723529411765</v>
      </c>
      <c r="D53">
        <v>12.276647058823528</v>
      </c>
    </row>
    <row r="54" spans="1:4" x14ac:dyDescent="0.25">
      <c r="A54" s="5" t="s">
        <v>24</v>
      </c>
      <c r="B54">
        <v>4.9085909090909094</v>
      </c>
      <c r="C54">
        <v>24.874636363636363</v>
      </c>
      <c r="D54">
        <v>10.815499999999998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4EE1-2752-4CC1-A632-923B7D888A00}">
  <dimension ref="D3:M3"/>
  <sheetViews>
    <sheetView topLeftCell="B1" zoomScale="115" zoomScaleNormal="115" workbookViewId="0">
      <selection activeCell="I23" sqref="I23"/>
    </sheetView>
  </sheetViews>
  <sheetFormatPr defaultRowHeight="15" x14ac:dyDescent="0.25"/>
  <sheetData>
    <row r="3" spans="4:13" x14ac:dyDescent="0.25">
      <c r="D3" t="s">
        <v>22</v>
      </c>
      <c r="M3" t="s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4A4138-CB40-44C4-88C9-BFAF32FDC7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Cleaned data</vt:lpstr>
      <vt:lpstr>PVT 1</vt:lpstr>
      <vt:lpstr>Charts</vt:lpstr>
      <vt:lpstr>Economic_Data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Anifat Abbas</dc:creator>
  <cp:lastModifiedBy>Anifat Abbas</cp:lastModifiedBy>
  <dcterms:created xsi:type="dcterms:W3CDTF">2026-05-15T13:34:31Z</dcterms:created>
  <dcterms:modified xsi:type="dcterms:W3CDTF">2026-06-23T15:44:19Z</dcterms:modified>
</cp:coreProperties>
</file>